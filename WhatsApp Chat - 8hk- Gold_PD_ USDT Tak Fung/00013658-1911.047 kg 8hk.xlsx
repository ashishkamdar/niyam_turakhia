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497cc6b4017d4/Desktop/"/>
    </mc:Choice>
  </mc:AlternateContent>
  <xr:revisionPtr revIDLastSave="55" documentId="8_{C27991C3-655B-4D5F-BC70-D770A6689F35}" xr6:coauthVersionLast="47" xr6:coauthVersionMax="47" xr10:uidLastSave="{FC7DB3E2-124D-4767-AD8E-ABEE71CE50A6}"/>
  <bookViews>
    <workbookView xWindow="-120" yWindow="-120" windowWidth="29040" windowHeight="15720" xr2:uid="{0B5670C1-6A15-4132-9D25-4D2D57952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F63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 l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<sst xmlns="http://schemas.openxmlformats.org/spreadsheetml/2006/main" count="186" uniqueCount="74">
  <si>
    <t>Korea Zinc Co., Ltd</t>
  </si>
  <si>
    <t>BW30459</t>
  </si>
  <si>
    <t>BW30450</t>
  </si>
  <si>
    <t>Mitsui Mining &amp; Smelting Co., Ltd</t>
  </si>
  <si>
    <t>BW30461</t>
  </si>
  <si>
    <t>Teck Metals Ltd</t>
  </si>
  <si>
    <t>191582-17</t>
  </si>
  <si>
    <t>BW30452</t>
  </si>
  <si>
    <t>201512309</t>
  </si>
  <si>
    <t>18032531</t>
  </si>
  <si>
    <t>18032519</t>
  </si>
  <si>
    <t>14052654</t>
  </si>
  <si>
    <t>18032533</t>
  </si>
  <si>
    <t>182342-16</t>
  </si>
  <si>
    <t>182342-13</t>
  </si>
  <si>
    <t>182342-17</t>
  </si>
  <si>
    <t>Yunnan Copper Industry Co Ltd</t>
  </si>
  <si>
    <t>64</t>
  </si>
  <si>
    <t>39</t>
  </si>
  <si>
    <t>51</t>
  </si>
  <si>
    <t>1665</t>
  </si>
  <si>
    <t>47</t>
  </si>
  <si>
    <t>65</t>
  </si>
  <si>
    <t>48</t>
  </si>
  <si>
    <t>27</t>
  </si>
  <si>
    <t>52</t>
  </si>
  <si>
    <t>54</t>
  </si>
  <si>
    <t>50</t>
  </si>
  <si>
    <t>63</t>
  </si>
  <si>
    <t>55</t>
  </si>
  <si>
    <t>2122</t>
  </si>
  <si>
    <t>60</t>
  </si>
  <si>
    <t>61</t>
  </si>
  <si>
    <t>45</t>
  </si>
  <si>
    <t>26</t>
  </si>
  <si>
    <t>2110</t>
  </si>
  <si>
    <t>14052672</t>
  </si>
  <si>
    <t>14052676</t>
  </si>
  <si>
    <t>14052647</t>
  </si>
  <si>
    <t>182111-3</t>
  </si>
  <si>
    <t>182111-20</t>
  </si>
  <si>
    <t>15102476</t>
  </si>
  <si>
    <t>Mitsui Mining &amp; Smelting Co. Kamioka</t>
  </si>
  <si>
    <t>201512238</t>
  </si>
  <si>
    <t>201512315</t>
  </si>
  <si>
    <t>201512311</t>
  </si>
  <si>
    <t>201512313</t>
  </si>
  <si>
    <t>201512305</t>
  </si>
  <si>
    <t>201512401</t>
  </si>
  <si>
    <t>201512307</t>
  </si>
  <si>
    <t>13120300</t>
  </si>
  <si>
    <t>13120343</t>
  </si>
  <si>
    <t>Tongling Nonferrous Metals Group., Ltd</t>
  </si>
  <si>
    <t>0422-08-00076</t>
  </si>
  <si>
    <t>0830-06-01728</t>
  </si>
  <si>
    <t>13120330</t>
  </si>
  <si>
    <t>Shenzhen Zhongjin Lingnan Nonfemet</t>
  </si>
  <si>
    <t>2010-0845-02</t>
  </si>
  <si>
    <t>2010-0824-04</t>
  </si>
  <si>
    <t>2010-0831-04</t>
  </si>
  <si>
    <t>2010-0832-02</t>
  </si>
  <si>
    <t>2010-0831-02</t>
  </si>
  <si>
    <t>2010-0837-03</t>
  </si>
  <si>
    <t>2010-0844-04</t>
  </si>
  <si>
    <t>14052674</t>
  </si>
  <si>
    <t>14052664</t>
  </si>
  <si>
    <t>14052616</t>
  </si>
  <si>
    <t>18032522</t>
  </si>
  <si>
    <t>14052622</t>
  </si>
  <si>
    <t>2010-0842-04</t>
  </si>
  <si>
    <t>Heraeus Ltd Hong Kong</t>
  </si>
  <si>
    <t>A0018</t>
  </si>
  <si>
    <t>A0050</t>
  </si>
  <si>
    <t>182332-22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</si>
</sst>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7" formatCode="0.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165" fontId="0" fillId="0" borderId="0" xfId="0" applyNumberFormat="1"/>
    <xf numFmtId="164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0" fillId="2" borderId="0" xfId="0" applyNumberFormat="1" applyFill="1"/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165" fontId="0" fillId="3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ED9E-53FE-4C57-977B-124180721419}">
  <dimension ref="A1:G63"/>
  <sheetViews>
    <sheetView tabSelected="1" workbookViewId="0">
      <selection activeCell="H65" sqref="A1:H65"/>
    </sheetView>
  </sheetViews>
  <sheetFormatPr defaultRowHeight="15" x14ac:dyDescent="0.25"/>
  <cols>
    <col min="1" max="1" width="25.7109375" bestFit="1" customWidth="1"/>
    <col min="2" max="2" width="13.28515625" bestFit="1" customWidth="1"/>
    <col min="6" max="6" width="9.5703125" bestFit="1" customWidth="1"/>
  </cols>
  <sheetData>
    <row r="1" spans="1:7" x14ac:dyDescent="0.25">
      <c r="A1" s="1" t="s">
        <v>5</v>
      </c>
      <c r="B1" s="1" t="s">
        <v>6</v>
      </c>
      <c r="C1" s="1">
        <v>9999</v>
      </c>
      <c r="D1" s="3">
        <v>1077</v>
      </c>
      <c r="E1" s="1" t="s">
        <v>7</v>
      </c>
      <c r="F1" s="2">
        <f t="shared" ref="F1:F62" si="0">D1/32.1507</f>
        <v>33.498493034366284</v>
      </c>
      <c r="G1" s="6">
        <v>30</v>
      </c>
    </row>
    <row r="2" spans="1:7" x14ac:dyDescent="0.25">
      <c r="A2" s="1" t="s">
        <v>3</v>
      </c>
      <c r="B2" s="1" t="s">
        <v>8</v>
      </c>
      <c r="C2" s="1">
        <v>9999</v>
      </c>
      <c r="D2" s="3">
        <v>954.1</v>
      </c>
      <c r="E2" s="1" t="s">
        <v>7</v>
      </c>
      <c r="F2" s="2">
        <f t="shared" si="0"/>
        <v>29.675870198782608</v>
      </c>
      <c r="G2" s="6"/>
    </row>
    <row r="3" spans="1:7" x14ac:dyDescent="0.25">
      <c r="A3" s="1" t="s">
        <v>0</v>
      </c>
      <c r="B3" s="1" t="s">
        <v>9</v>
      </c>
      <c r="C3" s="1">
        <v>9999</v>
      </c>
      <c r="D3" s="3">
        <v>949.6</v>
      </c>
      <c r="E3" s="1" t="s">
        <v>7</v>
      </c>
      <c r="F3" s="2">
        <f t="shared" si="0"/>
        <v>29.535904350449602</v>
      </c>
      <c r="G3" s="6"/>
    </row>
    <row r="4" spans="1:7" x14ac:dyDescent="0.25">
      <c r="A4" s="1" t="s">
        <v>0</v>
      </c>
      <c r="B4" s="1" t="s">
        <v>10</v>
      </c>
      <c r="C4" s="1">
        <v>9999</v>
      </c>
      <c r="D4" s="3">
        <v>947.3</v>
      </c>
      <c r="E4" s="1" t="s">
        <v>7</v>
      </c>
      <c r="F4" s="2">
        <f t="shared" si="0"/>
        <v>29.464366250190508</v>
      </c>
      <c r="G4" s="6"/>
    </row>
    <row r="5" spans="1:7" x14ac:dyDescent="0.25">
      <c r="A5" s="1" t="s">
        <v>0</v>
      </c>
      <c r="B5" s="1" t="s">
        <v>11</v>
      </c>
      <c r="C5" s="1">
        <v>9999</v>
      </c>
      <c r="D5" s="3">
        <v>963.5</v>
      </c>
      <c r="E5" s="1" t="s">
        <v>7</v>
      </c>
      <c r="F5" s="2">
        <f t="shared" si="0"/>
        <v>29.968243304189333</v>
      </c>
      <c r="G5" s="6"/>
    </row>
    <row r="6" spans="1:7" x14ac:dyDescent="0.25">
      <c r="A6" s="1" t="s">
        <v>0</v>
      </c>
      <c r="B6" s="1" t="s">
        <v>12</v>
      </c>
      <c r="C6" s="1">
        <v>9999</v>
      </c>
      <c r="D6" s="3">
        <v>951.7</v>
      </c>
      <c r="E6" s="1" t="s">
        <v>7</v>
      </c>
      <c r="F6" s="2">
        <f t="shared" si="0"/>
        <v>29.601221746338339</v>
      </c>
      <c r="G6" s="6"/>
    </row>
    <row r="7" spans="1:7" x14ac:dyDescent="0.25">
      <c r="A7" s="1" t="s">
        <v>5</v>
      </c>
      <c r="B7" s="1" t="s">
        <v>13</v>
      </c>
      <c r="C7" s="1">
        <v>9999</v>
      </c>
      <c r="D7" s="3">
        <v>1029.4000000000001</v>
      </c>
      <c r="E7" s="1" t="s">
        <v>7</v>
      </c>
      <c r="F7" s="2">
        <f t="shared" si="0"/>
        <v>32.017965394221591</v>
      </c>
      <c r="G7" s="6"/>
    </row>
    <row r="8" spans="1:7" x14ac:dyDescent="0.25">
      <c r="A8" s="1" t="s">
        <v>5</v>
      </c>
      <c r="B8" s="1" t="s">
        <v>14</v>
      </c>
      <c r="C8" s="1">
        <v>9999</v>
      </c>
      <c r="D8" s="3">
        <v>1062.2</v>
      </c>
      <c r="E8" s="1" t="s">
        <v>7</v>
      </c>
      <c r="F8" s="2">
        <f t="shared" si="0"/>
        <v>33.038160910959952</v>
      </c>
      <c r="G8" s="6"/>
    </row>
    <row r="9" spans="1:7" x14ac:dyDescent="0.25">
      <c r="A9" s="1" t="s">
        <v>5</v>
      </c>
      <c r="B9" s="1" t="s">
        <v>15</v>
      </c>
      <c r="C9" s="1">
        <v>9999</v>
      </c>
      <c r="D9" s="3">
        <v>1051.2</v>
      </c>
      <c r="E9" s="1" t="s">
        <v>7</v>
      </c>
      <c r="F9" s="2">
        <f t="shared" si="0"/>
        <v>32.696022170590375</v>
      </c>
      <c r="G9" s="6"/>
    </row>
    <row r="10" spans="1:7" x14ac:dyDescent="0.25">
      <c r="A10" s="1" t="s">
        <v>16</v>
      </c>
      <c r="B10" s="1" t="s">
        <v>17</v>
      </c>
      <c r="C10" s="1">
        <v>9999</v>
      </c>
      <c r="D10" s="3">
        <v>966.4</v>
      </c>
      <c r="E10" s="1" t="s">
        <v>7</v>
      </c>
      <c r="F10" s="2">
        <f t="shared" si="0"/>
        <v>30.058443517559493</v>
      </c>
      <c r="G10" s="6"/>
    </row>
    <row r="11" spans="1:7" x14ac:dyDescent="0.25">
      <c r="A11" s="1" t="s">
        <v>16</v>
      </c>
      <c r="B11" s="1" t="s">
        <v>18</v>
      </c>
      <c r="C11" s="1">
        <v>9999</v>
      </c>
      <c r="D11" s="3">
        <v>971.5</v>
      </c>
      <c r="E11" s="1" t="s">
        <v>7</v>
      </c>
      <c r="F11" s="2">
        <f t="shared" si="0"/>
        <v>30.217071479003568</v>
      </c>
      <c r="G11" s="6"/>
    </row>
    <row r="12" spans="1:7" x14ac:dyDescent="0.25">
      <c r="A12" s="1" t="s">
        <v>16</v>
      </c>
      <c r="B12" s="1" t="s">
        <v>19</v>
      </c>
      <c r="C12" s="1">
        <v>9999</v>
      </c>
      <c r="D12" s="3">
        <v>1073.4000000000001</v>
      </c>
      <c r="E12" s="1" t="s">
        <v>7</v>
      </c>
      <c r="F12" s="2">
        <f t="shared" si="0"/>
        <v>33.386520355699879</v>
      </c>
      <c r="G12" s="6"/>
    </row>
    <row r="13" spans="1:7" x14ac:dyDescent="0.25">
      <c r="A13" s="1" t="s">
        <v>16</v>
      </c>
      <c r="B13" s="1" t="s">
        <v>20</v>
      </c>
      <c r="C13" s="1">
        <v>9999</v>
      </c>
      <c r="D13" s="3">
        <v>971.8</v>
      </c>
      <c r="E13" s="1" t="s">
        <v>7</v>
      </c>
      <c r="F13" s="2">
        <f t="shared" si="0"/>
        <v>30.2264025355591</v>
      </c>
      <c r="G13" s="6"/>
    </row>
    <row r="14" spans="1:7" x14ac:dyDescent="0.25">
      <c r="A14" s="1" t="s">
        <v>16</v>
      </c>
      <c r="B14" s="1" t="s">
        <v>21</v>
      </c>
      <c r="C14" s="1">
        <v>9999</v>
      </c>
      <c r="D14" s="3">
        <v>989.5</v>
      </c>
      <c r="E14" s="1" t="s">
        <v>7</v>
      </c>
      <c r="F14" s="2">
        <f t="shared" si="0"/>
        <v>30.776934872335595</v>
      </c>
      <c r="G14" s="6"/>
    </row>
    <row r="15" spans="1:7" x14ac:dyDescent="0.25">
      <c r="A15" s="1" t="s">
        <v>16</v>
      </c>
      <c r="B15" s="1" t="s">
        <v>22</v>
      </c>
      <c r="C15" s="1">
        <v>9999</v>
      </c>
      <c r="D15" s="3">
        <v>1042.8</v>
      </c>
      <c r="E15" s="1" t="s">
        <v>7</v>
      </c>
      <c r="F15" s="2">
        <f t="shared" si="0"/>
        <v>32.434752587035426</v>
      </c>
      <c r="G15" s="6"/>
    </row>
    <row r="16" spans="1:7" x14ac:dyDescent="0.25">
      <c r="A16" s="1" t="s">
        <v>16</v>
      </c>
      <c r="B16" s="1" t="s">
        <v>23</v>
      </c>
      <c r="C16" s="1">
        <v>9999</v>
      </c>
      <c r="D16" s="3">
        <v>960.8</v>
      </c>
      <c r="E16" s="1" t="s">
        <v>7</v>
      </c>
      <c r="F16" s="2">
        <f t="shared" si="0"/>
        <v>29.884263795189529</v>
      </c>
      <c r="G16" s="6"/>
    </row>
    <row r="17" spans="1:7" x14ac:dyDescent="0.25">
      <c r="A17" s="1" t="s">
        <v>16</v>
      </c>
      <c r="B17" s="1" t="s">
        <v>24</v>
      </c>
      <c r="C17" s="1">
        <v>9999</v>
      </c>
      <c r="D17" s="3">
        <v>977.9</v>
      </c>
      <c r="E17" s="1" t="s">
        <v>7</v>
      </c>
      <c r="F17" s="2">
        <f t="shared" si="0"/>
        <v>30.416134018854954</v>
      </c>
      <c r="G17" s="6"/>
    </row>
    <row r="18" spans="1:7" x14ac:dyDescent="0.25">
      <c r="A18" s="1" t="s">
        <v>16</v>
      </c>
      <c r="B18" s="1" t="s">
        <v>25</v>
      </c>
      <c r="C18" s="1">
        <v>9999</v>
      </c>
      <c r="D18" s="3">
        <v>984</v>
      </c>
      <c r="E18" s="1" t="s">
        <v>7</v>
      </c>
      <c r="F18" s="2">
        <f t="shared" si="0"/>
        <v>30.605865502150809</v>
      </c>
      <c r="G18" s="6"/>
    </row>
    <row r="19" spans="1:7" x14ac:dyDescent="0.25">
      <c r="A19" s="1" t="s">
        <v>16</v>
      </c>
      <c r="B19" s="1" t="s">
        <v>26</v>
      </c>
      <c r="C19" s="1">
        <v>9999</v>
      </c>
      <c r="D19" s="3">
        <v>1021.9</v>
      </c>
      <c r="E19" s="1" t="s">
        <v>7</v>
      </c>
      <c r="F19" s="2">
        <f t="shared" si="0"/>
        <v>31.784688980333243</v>
      </c>
      <c r="G19" s="6"/>
    </row>
    <row r="20" spans="1:7" x14ac:dyDescent="0.25">
      <c r="A20" s="1" t="s">
        <v>16</v>
      </c>
      <c r="B20" s="1" t="s">
        <v>27</v>
      </c>
      <c r="C20" s="1">
        <v>9999</v>
      </c>
      <c r="D20" s="3">
        <v>986.1</v>
      </c>
      <c r="E20" s="1" t="s">
        <v>7</v>
      </c>
      <c r="F20" s="2">
        <f t="shared" si="0"/>
        <v>30.671182898039547</v>
      </c>
      <c r="G20" s="6"/>
    </row>
    <row r="21" spans="1:7" x14ac:dyDescent="0.25">
      <c r="A21" s="1" t="s">
        <v>16</v>
      </c>
      <c r="B21" s="1" t="s">
        <v>28</v>
      </c>
      <c r="C21" s="1">
        <v>9999</v>
      </c>
      <c r="D21" s="3">
        <v>968.6</v>
      </c>
      <c r="E21" s="1" t="s">
        <v>7</v>
      </c>
      <c r="F21" s="2">
        <f t="shared" si="0"/>
        <v>30.126871265633408</v>
      </c>
      <c r="G21" s="6"/>
    </row>
    <row r="22" spans="1:7" x14ac:dyDescent="0.25">
      <c r="A22" s="1" t="s">
        <v>16</v>
      </c>
      <c r="B22" s="1" t="s">
        <v>29</v>
      </c>
      <c r="C22" s="1">
        <v>9999</v>
      </c>
      <c r="D22" s="3">
        <v>999.9</v>
      </c>
      <c r="E22" s="1" t="s">
        <v>7</v>
      </c>
      <c r="F22" s="2">
        <f t="shared" si="0"/>
        <v>31.100411499594099</v>
      </c>
      <c r="G22" s="6"/>
    </row>
    <row r="23" spans="1:7" x14ac:dyDescent="0.25">
      <c r="A23" s="1" t="s">
        <v>16</v>
      </c>
      <c r="B23" s="1" t="s">
        <v>30</v>
      </c>
      <c r="C23" s="1">
        <v>9999</v>
      </c>
      <c r="D23" s="3">
        <v>1079.7</v>
      </c>
      <c r="E23" s="1" t="s">
        <v>7</v>
      </c>
      <c r="F23" s="2">
        <f t="shared" si="0"/>
        <v>33.582472543366087</v>
      </c>
      <c r="G23" s="6"/>
    </row>
    <row r="24" spans="1:7" x14ac:dyDescent="0.25">
      <c r="A24" s="1" t="s">
        <v>16</v>
      </c>
      <c r="B24" s="1" t="s">
        <v>31</v>
      </c>
      <c r="C24" s="1">
        <v>9999</v>
      </c>
      <c r="D24" s="3">
        <v>1014.1</v>
      </c>
      <c r="E24" s="1" t="s">
        <v>7</v>
      </c>
      <c r="F24" s="2">
        <f t="shared" si="0"/>
        <v>31.542081509889364</v>
      </c>
      <c r="G24" s="6"/>
    </row>
    <row r="25" spans="1:7" x14ac:dyDescent="0.25">
      <c r="A25" s="1" t="s">
        <v>16</v>
      </c>
      <c r="B25" s="1" t="s">
        <v>32</v>
      </c>
      <c r="C25" s="1">
        <v>9999</v>
      </c>
      <c r="D25" s="3">
        <v>1017.6</v>
      </c>
      <c r="E25" s="1" t="s">
        <v>7</v>
      </c>
      <c r="F25" s="2">
        <f t="shared" si="0"/>
        <v>31.650943836370594</v>
      </c>
      <c r="G25" s="6"/>
    </row>
    <row r="26" spans="1:7" x14ac:dyDescent="0.25">
      <c r="A26" s="1" t="s">
        <v>16</v>
      </c>
      <c r="B26" s="1" t="s">
        <v>33</v>
      </c>
      <c r="C26" s="1">
        <v>9999</v>
      </c>
      <c r="D26" s="3">
        <v>1038.3</v>
      </c>
      <c r="E26" s="1" t="s">
        <v>7</v>
      </c>
      <c r="F26" s="2">
        <f t="shared" si="0"/>
        <v>32.29478673870242</v>
      </c>
      <c r="G26" s="6"/>
    </row>
    <row r="27" spans="1:7" x14ac:dyDescent="0.25">
      <c r="A27" s="1" t="s">
        <v>16</v>
      </c>
      <c r="B27" s="1" t="s">
        <v>34</v>
      </c>
      <c r="C27" s="1">
        <v>9999</v>
      </c>
      <c r="D27" s="3">
        <v>1002.9</v>
      </c>
      <c r="E27" s="1" t="s">
        <v>7</v>
      </c>
      <c r="F27" s="2">
        <f t="shared" si="0"/>
        <v>31.193722065149437</v>
      </c>
      <c r="G27" s="6"/>
    </row>
    <row r="28" spans="1:7" x14ac:dyDescent="0.25">
      <c r="A28" s="1" t="s">
        <v>16</v>
      </c>
      <c r="B28" s="1" t="s">
        <v>35</v>
      </c>
      <c r="C28" s="1">
        <v>9999</v>
      </c>
      <c r="D28" s="3">
        <v>1089.0999999999999</v>
      </c>
      <c r="E28" s="1" t="s">
        <v>7</v>
      </c>
      <c r="F28" s="2">
        <f t="shared" si="0"/>
        <v>33.874845648772805</v>
      </c>
      <c r="G28" s="6"/>
    </row>
    <row r="29" spans="1:7" x14ac:dyDescent="0.25">
      <c r="A29" s="1" t="s">
        <v>0</v>
      </c>
      <c r="B29" s="1" t="s">
        <v>36</v>
      </c>
      <c r="C29" s="1">
        <v>9999</v>
      </c>
      <c r="D29" s="3">
        <v>971.6</v>
      </c>
      <c r="E29" s="1" t="s">
        <v>7</v>
      </c>
      <c r="F29" s="2">
        <f t="shared" si="0"/>
        <v>30.220181831188746</v>
      </c>
      <c r="G29" s="6"/>
    </row>
    <row r="30" spans="1:7" x14ac:dyDescent="0.25">
      <c r="A30" s="1" t="s">
        <v>0</v>
      </c>
      <c r="B30" s="1" t="s">
        <v>37</v>
      </c>
      <c r="C30" s="1">
        <v>9999</v>
      </c>
      <c r="D30" s="3">
        <v>973.1</v>
      </c>
      <c r="E30" s="1" t="s">
        <v>7</v>
      </c>
      <c r="F30" s="2">
        <f t="shared" si="0"/>
        <v>30.266837113966414</v>
      </c>
      <c r="G30" s="6"/>
    </row>
    <row r="31" spans="1:7" x14ac:dyDescent="0.25">
      <c r="A31" s="9" t="s">
        <v>0</v>
      </c>
      <c r="B31" s="9" t="s">
        <v>38</v>
      </c>
      <c r="C31" s="9">
        <v>9999</v>
      </c>
      <c r="D31" s="10">
        <v>962.1</v>
      </c>
      <c r="E31" s="9" t="s">
        <v>1</v>
      </c>
      <c r="F31" s="11">
        <f t="shared" si="0"/>
        <v>29.924698373596843</v>
      </c>
      <c r="G31" s="7">
        <v>32</v>
      </c>
    </row>
    <row r="32" spans="1:7" x14ac:dyDescent="0.25">
      <c r="A32" s="9" t="s">
        <v>5</v>
      </c>
      <c r="B32" s="9" t="s">
        <v>39</v>
      </c>
      <c r="C32" s="9">
        <v>9999</v>
      </c>
      <c r="D32" s="10">
        <v>1072.7</v>
      </c>
      <c r="E32" s="9" t="s">
        <v>1</v>
      </c>
      <c r="F32" s="11">
        <f t="shared" si="0"/>
        <v>33.364747890403635</v>
      </c>
      <c r="G32" s="7"/>
    </row>
    <row r="33" spans="1:7" x14ac:dyDescent="0.25">
      <c r="A33" s="9" t="s">
        <v>5</v>
      </c>
      <c r="B33" s="9" t="s">
        <v>40</v>
      </c>
      <c r="C33" s="9">
        <v>9999</v>
      </c>
      <c r="D33" s="10">
        <v>1076.8</v>
      </c>
      <c r="E33" s="9" t="s">
        <v>1</v>
      </c>
      <c r="F33" s="11">
        <f t="shared" si="0"/>
        <v>33.49227232999592</v>
      </c>
      <c r="G33" s="7"/>
    </row>
    <row r="34" spans="1:7" x14ac:dyDescent="0.25">
      <c r="A34" s="9" t="s">
        <v>0</v>
      </c>
      <c r="B34" s="9" t="s">
        <v>41</v>
      </c>
      <c r="C34" s="9">
        <v>9999</v>
      </c>
      <c r="D34" s="10">
        <v>957.9</v>
      </c>
      <c r="E34" s="9" t="s">
        <v>1</v>
      </c>
      <c r="F34" s="11">
        <f t="shared" si="0"/>
        <v>29.794063581819369</v>
      </c>
      <c r="G34" s="7"/>
    </row>
    <row r="35" spans="1:7" x14ac:dyDescent="0.25">
      <c r="A35" s="9" t="s">
        <v>42</v>
      </c>
      <c r="B35" s="9" t="s">
        <v>43</v>
      </c>
      <c r="C35" s="9">
        <v>9999</v>
      </c>
      <c r="D35" s="10">
        <v>929.2</v>
      </c>
      <c r="E35" s="9" t="s">
        <v>2</v>
      </c>
      <c r="F35" s="11">
        <f t="shared" si="0"/>
        <v>28.901392504673304</v>
      </c>
      <c r="G35" s="7"/>
    </row>
    <row r="36" spans="1:7" x14ac:dyDescent="0.25">
      <c r="A36" s="9" t="s">
        <v>42</v>
      </c>
      <c r="B36" s="9" t="s">
        <v>44</v>
      </c>
      <c r="C36" s="9">
        <v>9999</v>
      </c>
      <c r="D36" s="10">
        <v>961.9</v>
      </c>
      <c r="E36" s="9" t="s">
        <v>2</v>
      </c>
      <c r="F36" s="11">
        <f t="shared" si="0"/>
        <v>29.918477669226487</v>
      </c>
      <c r="G36" s="7"/>
    </row>
    <row r="37" spans="1:7" x14ac:dyDescent="0.25">
      <c r="A37" s="9" t="s">
        <v>42</v>
      </c>
      <c r="B37" s="9" t="s">
        <v>45</v>
      </c>
      <c r="C37" s="9">
        <v>9999</v>
      </c>
      <c r="D37" s="10">
        <v>966.2</v>
      </c>
      <c r="E37" s="9" t="s">
        <v>2</v>
      </c>
      <c r="F37" s="11">
        <f t="shared" si="0"/>
        <v>30.05222281318914</v>
      </c>
      <c r="G37" s="7"/>
    </row>
    <row r="38" spans="1:7" x14ac:dyDescent="0.25">
      <c r="A38" s="9" t="s">
        <v>42</v>
      </c>
      <c r="B38" s="9" t="s">
        <v>46</v>
      </c>
      <c r="C38" s="9">
        <v>9999</v>
      </c>
      <c r="D38" s="10">
        <v>976.1</v>
      </c>
      <c r="E38" s="9" t="s">
        <v>2</v>
      </c>
      <c r="F38" s="11">
        <f t="shared" si="0"/>
        <v>30.360147679521752</v>
      </c>
      <c r="G38" s="7"/>
    </row>
    <row r="39" spans="1:7" x14ac:dyDescent="0.25">
      <c r="A39" s="9" t="s">
        <v>42</v>
      </c>
      <c r="B39" s="9" t="s">
        <v>47</v>
      </c>
      <c r="C39" s="9">
        <v>9999</v>
      </c>
      <c r="D39" s="10">
        <v>967.8</v>
      </c>
      <c r="E39" s="9" t="s">
        <v>2</v>
      </c>
      <c r="F39" s="11">
        <f t="shared" si="0"/>
        <v>30.101988448151982</v>
      </c>
      <c r="G39" s="7"/>
    </row>
    <row r="40" spans="1:7" x14ac:dyDescent="0.25">
      <c r="A40" s="9" t="s">
        <v>42</v>
      </c>
      <c r="B40" s="9" t="s">
        <v>48</v>
      </c>
      <c r="C40" s="9">
        <v>9999</v>
      </c>
      <c r="D40" s="10">
        <v>904.9</v>
      </c>
      <c r="E40" s="9" t="s">
        <v>2</v>
      </c>
      <c r="F40" s="11">
        <f t="shared" si="0"/>
        <v>28.145576923675065</v>
      </c>
      <c r="G40" s="7"/>
    </row>
    <row r="41" spans="1:7" x14ac:dyDescent="0.25">
      <c r="A41" s="9" t="s">
        <v>42</v>
      </c>
      <c r="B41" s="9" t="s">
        <v>49</v>
      </c>
      <c r="C41" s="9">
        <v>9999</v>
      </c>
      <c r="D41" s="10">
        <v>960.8</v>
      </c>
      <c r="E41" s="9" t="s">
        <v>2</v>
      </c>
      <c r="F41" s="11">
        <f t="shared" si="0"/>
        <v>29.884263795189529</v>
      </c>
      <c r="G41" s="7"/>
    </row>
    <row r="42" spans="1:7" x14ac:dyDescent="0.25">
      <c r="A42" s="9" t="s">
        <v>0</v>
      </c>
      <c r="B42" s="9" t="s">
        <v>50</v>
      </c>
      <c r="C42" s="9">
        <v>9999</v>
      </c>
      <c r="D42" s="10">
        <v>934.7</v>
      </c>
      <c r="E42" s="9" t="s">
        <v>2</v>
      </c>
      <c r="F42" s="11">
        <f t="shared" si="0"/>
        <v>29.072461874858092</v>
      </c>
      <c r="G42" s="7"/>
    </row>
    <row r="43" spans="1:7" x14ac:dyDescent="0.25">
      <c r="A43" s="9" t="s">
        <v>0</v>
      </c>
      <c r="B43" s="9" t="s">
        <v>51</v>
      </c>
      <c r="C43" s="9">
        <v>9999</v>
      </c>
      <c r="D43" s="10">
        <v>953.8</v>
      </c>
      <c r="E43" s="9" t="s">
        <v>2</v>
      </c>
      <c r="F43" s="11">
        <f t="shared" si="0"/>
        <v>29.666539142227073</v>
      </c>
      <c r="G43" s="7"/>
    </row>
    <row r="44" spans="1:7" x14ac:dyDescent="0.25">
      <c r="A44" s="9" t="s">
        <v>52</v>
      </c>
      <c r="B44" s="9" t="s">
        <v>53</v>
      </c>
      <c r="C44" s="9">
        <v>9999</v>
      </c>
      <c r="D44" s="10">
        <v>986.2</v>
      </c>
      <c r="E44" s="9" t="s">
        <v>2</v>
      </c>
      <c r="F44" s="11">
        <f t="shared" si="0"/>
        <v>30.674293250224725</v>
      </c>
      <c r="G44" s="7"/>
    </row>
    <row r="45" spans="1:7" x14ac:dyDescent="0.25">
      <c r="A45" s="9" t="s">
        <v>52</v>
      </c>
      <c r="B45" s="9" t="s">
        <v>54</v>
      </c>
      <c r="C45" s="9">
        <v>9999</v>
      </c>
      <c r="D45" s="10">
        <v>1009.8</v>
      </c>
      <c r="E45" s="9" t="s">
        <v>2</v>
      </c>
      <c r="F45" s="11">
        <f t="shared" si="0"/>
        <v>31.408336365926711</v>
      </c>
      <c r="G45" s="7"/>
    </row>
    <row r="46" spans="1:7" x14ac:dyDescent="0.25">
      <c r="A46" s="9" t="s">
        <v>0</v>
      </c>
      <c r="B46" s="9" t="s">
        <v>55</v>
      </c>
      <c r="C46" s="9">
        <v>9999</v>
      </c>
      <c r="D46" s="10">
        <v>949.5</v>
      </c>
      <c r="E46" s="9" t="s">
        <v>2</v>
      </c>
      <c r="F46" s="11">
        <f t="shared" si="0"/>
        <v>29.532793998264424</v>
      </c>
      <c r="G46" s="7"/>
    </row>
    <row r="47" spans="1:7" x14ac:dyDescent="0.25">
      <c r="A47" s="9" t="s">
        <v>56</v>
      </c>
      <c r="B47" s="9" t="s">
        <v>57</v>
      </c>
      <c r="C47" s="9">
        <v>9999</v>
      </c>
      <c r="D47" s="10">
        <v>991.7</v>
      </c>
      <c r="E47" s="9" t="s">
        <v>4</v>
      </c>
      <c r="F47" s="11">
        <f t="shared" si="0"/>
        <v>30.84536262040951</v>
      </c>
      <c r="G47" s="7"/>
    </row>
    <row r="48" spans="1:7" x14ac:dyDescent="0.25">
      <c r="A48" s="9" t="s">
        <v>56</v>
      </c>
      <c r="B48" s="9" t="s">
        <v>58</v>
      </c>
      <c r="C48" s="9">
        <v>9999</v>
      </c>
      <c r="D48" s="10">
        <v>974.2</v>
      </c>
      <c r="E48" s="9" t="s">
        <v>4</v>
      </c>
      <c r="F48" s="11">
        <f t="shared" si="0"/>
        <v>30.301050988003372</v>
      </c>
      <c r="G48" s="7"/>
    </row>
    <row r="49" spans="1:7" x14ac:dyDescent="0.25">
      <c r="A49" s="9" t="s">
        <v>56</v>
      </c>
      <c r="B49" s="9" t="s">
        <v>59</v>
      </c>
      <c r="C49" s="9">
        <v>9999</v>
      </c>
      <c r="D49" s="10">
        <v>1012.4</v>
      </c>
      <c r="E49" s="9" t="s">
        <v>4</v>
      </c>
      <c r="F49" s="11">
        <f t="shared" si="0"/>
        <v>31.48920552274134</v>
      </c>
      <c r="G49" s="7"/>
    </row>
    <row r="50" spans="1:7" x14ac:dyDescent="0.25">
      <c r="A50" s="9" t="s">
        <v>56</v>
      </c>
      <c r="B50" s="9" t="s">
        <v>60</v>
      </c>
      <c r="C50" s="9">
        <v>9999</v>
      </c>
      <c r="D50" s="10">
        <v>964.6</v>
      </c>
      <c r="E50" s="9" t="s">
        <v>4</v>
      </c>
      <c r="F50" s="11">
        <f t="shared" si="0"/>
        <v>30.00245717822629</v>
      </c>
      <c r="G50" s="7"/>
    </row>
    <row r="51" spans="1:7" x14ac:dyDescent="0.25">
      <c r="A51" s="9" t="s">
        <v>56</v>
      </c>
      <c r="B51" s="9" t="s">
        <v>61</v>
      </c>
      <c r="C51" s="9">
        <v>9999</v>
      </c>
      <c r="D51" s="10">
        <v>955.9</v>
      </c>
      <c r="E51" s="9" t="s">
        <v>4</v>
      </c>
      <c r="F51" s="11">
        <f t="shared" si="0"/>
        <v>29.73185653811581</v>
      </c>
      <c r="G51" s="7"/>
    </row>
    <row r="52" spans="1:7" x14ac:dyDescent="0.25">
      <c r="A52" s="9" t="s">
        <v>56</v>
      </c>
      <c r="B52" s="9" t="s">
        <v>62</v>
      </c>
      <c r="C52" s="9">
        <v>9999</v>
      </c>
      <c r="D52" s="10">
        <v>929.8</v>
      </c>
      <c r="E52" s="9" t="s">
        <v>4</v>
      </c>
      <c r="F52" s="11">
        <f t="shared" si="0"/>
        <v>28.92005461778437</v>
      </c>
      <c r="G52" s="7"/>
    </row>
    <row r="53" spans="1:7" x14ac:dyDescent="0.25">
      <c r="A53" s="9" t="s">
        <v>56</v>
      </c>
      <c r="B53" s="9" t="s">
        <v>63</v>
      </c>
      <c r="C53" s="9">
        <v>9999</v>
      </c>
      <c r="D53" s="10">
        <v>1011.7</v>
      </c>
      <c r="E53" s="9" t="s">
        <v>4</v>
      </c>
      <c r="F53" s="11">
        <f t="shared" si="0"/>
        <v>31.467433057445096</v>
      </c>
      <c r="G53" s="7"/>
    </row>
    <row r="54" spans="1:7" x14ac:dyDescent="0.25">
      <c r="A54" s="9" t="s">
        <v>0</v>
      </c>
      <c r="B54" s="9" t="s">
        <v>64</v>
      </c>
      <c r="C54" s="9">
        <v>9999</v>
      </c>
      <c r="D54" s="10">
        <v>954.9</v>
      </c>
      <c r="E54" s="9" t="s">
        <v>4</v>
      </c>
      <c r="F54" s="11">
        <f t="shared" si="0"/>
        <v>29.700753016264031</v>
      </c>
      <c r="G54" s="7"/>
    </row>
    <row r="55" spans="1:7" x14ac:dyDescent="0.25">
      <c r="A55" s="9" t="s">
        <v>0</v>
      </c>
      <c r="B55" s="9" t="s">
        <v>65</v>
      </c>
      <c r="C55" s="9">
        <v>9999</v>
      </c>
      <c r="D55" s="10">
        <v>1006.9</v>
      </c>
      <c r="E55" s="9" t="s">
        <v>4</v>
      </c>
      <c r="F55" s="11">
        <f t="shared" si="0"/>
        <v>31.318136152556551</v>
      </c>
      <c r="G55" s="7"/>
    </row>
    <row r="56" spans="1:7" x14ac:dyDescent="0.25">
      <c r="A56" s="9" t="s">
        <v>0</v>
      </c>
      <c r="B56" s="9" t="s">
        <v>66</v>
      </c>
      <c r="C56" s="9">
        <v>9999</v>
      </c>
      <c r="D56" s="10">
        <v>976.5</v>
      </c>
      <c r="E56" s="9" t="s">
        <v>4</v>
      </c>
      <c r="F56" s="11">
        <f t="shared" si="0"/>
        <v>30.372589088262462</v>
      </c>
      <c r="G56" s="7"/>
    </row>
    <row r="57" spans="1:7" x14ac:dyDescent="0.25">
      <c r="A57" s="9" t="s">
        <v>0</v>
      </c>
      <c r="B57" s="9" t="s">
        <v>67</v>
      </c>
      <c r="C57" s="9">
        <v>9999</v>
      </c>
      <c r="D57" s="10">
        <v>936.3</v>
      </c>
      <c r="E57" s="9" t="s">
        <v>4</v>
      </c>
      <c r="F57" s="11">
        <f t="shared" si="0"/>
        <v>29.122227509820934</v>
      </c>
      <c r="G57" s="7"/>
    </row>
    <row r="58" spans="1:7" x14ac:dyDescent="0.25">
      <c r="A58" s="9" t="s">
        <v>0</v>
      </c>
      <c r="B58" s="9" t="s">
        <v>68</v>
      </c>
      <c r="C58" s="9">
        <v>9999</v>
      </c>
      <c r="D58" s="10">
        <v>974.9</v>
      </c>
      <c r="E58" s="9" t="s">
        <v>4</v>
      </c>
      <c r="F58" s="11">
        <f t="shared" si="0"/>
        <v>30.322823453299616</v>
      </c>
      <c r="G58" s="7"/>
    </row>
    <row r="59" spans="1:7" x14ac:dyDescent="0.25">
      <c r="A59" s="9" t="s">
        <v>56</v>
      </c>
      <c r="B59" s="9" t="s">
        <v>69</v>
      </c>
      <c r="C59" s="9">
        <v>9999</v>
      </c>
      <c r="D59" s="10">
        <v>983.2</v>
      </c>
      <c r="E59" s="9" t="s">
        <v>4</v>
      </c>
      <c r="F59" s="11">
        <f t="shared" si="0"/>
        <v>30.580982684669387</v>
      </c>
      <c r="G59" s="7"/>
    </row>
    <row r="60" spans="1:7" x14ac:dyDescent="0.25">
      <c r="A60" s="9" t="s">
        <v>70</v>
      </c>
      <c r="B60" s="9" t="s">
        <v>71</v>
      </c>
      <c r="C60" s="9">
        <v>9999</v>
      </c>
      <c r="D60" s="10">
        <v>1016.3</v>
      </c>
      <c r="E60" s="9" t="s">
        <v>4</v>
      </c>
      <c r="F60" s="11">
        <f t="shared" si="0"/>
        <v>31.610509257963276</v>
      </c>
      <c r="G60" s="7"/>
    </row>
    <row r="61" spans="1:7" x14ac:dyDescent="0.25">
      <c r="A61" s="9" t="s">
        <v>70</v>
      </c>
      <c r="B61" s="9" t="s">
        <v>72</v>
      </c>
      <c r="C61" s="9">
        <v>9999</v>
      </c>
      <c r="D61" s="10">
        <v>1015.5</v>
      </c>
      <c r="E61" s="9" t="s">
        <v>4</v>
      </c>
      <c r="F61" s="11">
        <f t="shared" si="0"/>
        <v>31.585626440481857</v>
      </c>
      <c r="G61" s="7"/>
    </row>
    <row r="62" spans="1:7" x14ac:dyDescent="0.25">
      <c r="A62" s="4" t="s">
        <v>5</v>
      </c>
      <c r="B62" s="4" t="s">
        <v>73</v>
      </c>
      <c r="C62" s="4">
        <v>9999</v>
      </c>
      <c r="D62" s="5">
        <v>1079.3</v>
      </c>
      <c r="E62" s="4" t="s">
        <v>2</v>
      </c>
      <c r="F62" s="8">
        <f t="shared" si="0"/>
        <v>33.570031134625374</v>
      </c>
    </row>
    <row r="63" spans="1:7" x14ac:dyDescent="0.25">
      <c r="F63" s="12">
        <f>SUM(F1:F62)</f>
        <v>1911.0470378560965</v>
      </c>
      <c r="G63">
        <v>62</v>
      </c>
    </row>
  </sheetData>
  <mergeCells count="2">
    <mergeCell ref="G1:G30"/>
    <mergeCell ref="G31:G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m</dc:creator>
  <cp:lastModifiedBy>jaswant m</cp:lastModifiedBy>
  <dcterms:created xsi:type="dcterms:W3CDTF">2026-03-23T04:29:32Z</dcterms:created>
  <dcterms:modified xsi:type="dcterms:W3CDTF">2026-03-23T05:42:36Z</dcterms:modified>
</cp:coreProperties>
</file>