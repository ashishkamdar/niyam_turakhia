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i\OneDrive\文件\DOC-2026 backup\SHIPPING 2026\TAK FUNG 2026\"/>
    </mc:Choice>
  </mc:AlternateContent>
  <xr:revisionPtr revIDLastSave="0" documentId="8_{B714E4A3-6FB3-458B-8E6A-1657AF5AB351}" xr6:coauthVersionLast="47" xr6:coauthVersionMax="47" xr10:uidLastSave="{00000000-0000-0000-0000-000000000000}"/>
  <bookViews>
    <workbookView xWindow="-96" yWindow="-96" windowWidth="17472" windowHeight="10272" xr2:uid="{092FF45E-E434-4AE9-BEAF-8E14C25A6B13}"/>
  </bookViews>
  <sheets>
    <sheet name="2322.9821kg" sheetId="1" r:id="rId1"/>
  </sheets>
  <definedNames>
    <definedName name="_xlnm._FilterDatabase" localSheetId="0" hidden="1">'2322.9821kg'!$A$1:$N$1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9" i="1" l="1"/>
  <c r="N188" i="1"/>
  <c r="I83" i="1"/>
  <c r="I84" i="1" s="1"/>
  <c r="I189" i="1" s="1"/>
  <c r="I192" i="1" s="1"/>
  <c r="L81" i="1"/>
  <c r="M81" i="1" s="1"/>
  <c r="M69" i="1"/>
  <c r="L69" i="1"/>
  <c r="L60" i="1"/>
  <c r="M60" i="1" s="1"/>
  <c r="L31" i="1"/>
  <c r="M31" i="1" s="1"/>
</calcChain>
</file>

<file path=xl/sharedStrings.xml><?xml version="1.0" encoding="utf-8"?>
<sst xmlns="http://schemas.openxmlformats.org/spreadsheetml/2006/main" count="651" uniqueCount="103">
  <si>
    <t>Brand</t>
  </si>
  <si>
    <t>batch_number_in</t>
  </si>
  <si>
    <t>package_number</t>
  </si>
  <si>
    <t>item_number</t>
  </si>
  <si>
    <t>area_type</t>
  </si>
  <si>
    <t>stack</t>
  </si>
  <si>
    <t>position</t>
  </si>
  <si>
    <t>uom_code</t>
  </si>
  <si>
    <t>weight</t>
  </si>
  <si>
    <t>Assays</t>
  </si>
  <si>
    <t xml:space="preserve">N° Colata </t>
  </si>
  <si>
    <t>Portovesme s.r.l. of Italy</t>
  </si>
  <si>
    <t>T05841</t>
  </si>
  <si>
    <t>PALLET N° 1</t>
  </si>
  <si>
    <t>1031</t>
  </si>
  <si>
    <t>JFKPM</t>
  </si>
  <si>
    <t>R12</t>
  </si>
  <si>
    <t>E2</t>
  </si>
  <si>
    <t>GTO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</si>
  <si>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</si>
  <si>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</si>
  <si>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</si>
  <si>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</si>
  <si>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</si>
  <si>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</si>
  <si>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</si>
  <si>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</si>
  <si>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</si>
  <si>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</si>
  <si>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</si>
  <si>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</si>
  <si>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</si>
  <si>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</si>
  <si>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</si>
  <si>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</si>
  <si>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</si>
  <si>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</si>
  <si>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</si>
  <si>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</si>
  <si>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</si>
  <si>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</si>
  <si>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</si>
  <si>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</si>
  <si>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</si>
  <si>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</si>
  <si>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</si>
  <si>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</si>
  <si>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</si>
  <si>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201</t>
  </si>
  <si>
    <t>E3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</si>
  <si>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</si>
  <si>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</si>
  <si>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</si>
  <si>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</si>
  <si>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</si>
  <si>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</si>
  <si>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</si>
  <si>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</si>
  <si>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</si>
  <si>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</si>
  <si>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</si>
  <si>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</si>
  <si>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</si>
  <si>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</si>
  <si>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</si>
  <si>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</si>
  <si>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</si>
  <si>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</si>
  <si>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</si>
  <si>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191</t>
  </si>
  <si>
    <t>192</t>
  </si>
  <si>
    <t>193</t>
  </si>
  <si>
    <t>194</t>
  </si>
  <si>
    <t>196</t>
  </si>
  <si>
    <t>197</t>
  </si>
  <si>
    <t>198</t>
  </si>
  <si>
    <t>199</t>
  </si>
  <si>
    <t>200</t>
  </si>
  <si>
    <t>PALLET N° 2</t>
  </si>
  <si>
    <t>221</t>
  </si>
  <si>
    <t>F4</t>
  </si>
  <si>
    <t>222</t>
  </si>
  <si>
    <t>223</t>
  </si>
  <si>
    <t>224</t>
  </si>
  <si>
    <t>225</t>
  </si>
  <si>
    <t>226</t>
  </si>
  <si>
    <t>227</t>
  </si>
  <si>
    <t>228</t>
  </si>
  <si>
    <t>229</t>
  </si>
  <si>
    <t>PALLET N° 4</t>
  </si>
  <si>
    <t>299</t>
  </si>
  <si>
    <t>D1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</si>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</sst>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0"/>
    <numFmt numFmtId="177" formatCode="_(* #,##0.00_);_(* \(#,##0.00\);_(* &quot;-&quot;??_);_(@_)"/>
    <numFmt numFmtId="178" formatCode="_(* #,##0.000_);_(* \(#,##0.000\);_(* &quot;-&quot;??_);_(@_)"/>
    <numFmt numFmtId="179" formatCode="_ * #,##0.0000_ ;_ * \-#,##0.0000_ ;_ * &quot;-&quot;??_ ;_ @_ "/>
    <numFmt numFmtId="180" formatCode="0.000"/>
  </numFmts>
  <fonts count="7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77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0" fillId="0" borderId="2" xfId="0" applyBorder="1" applyAlignment="1" applyProtection="1">
      <alignment horizontal="center"/>
      <protection locked="0"/>
    </xf>
    <xf numFmtId="0" fontId="2" fillId="2" borderId="3" xfId="0" applyFont="1" applyFill="1" applyBorder="1" applyAlignment="1">
      <alignment horizontal="center"/>
    </xf>
    <xf numFmtId="0" fontId="0" fillId="0" borderId="0" xfId="0" applyProtection="1">
      <protection locked="0"/>
    </xf>
    <xf numFmtId="176" fontId="0" fillId="0" borderId="0" xfId="0" applyNumberFormat="1"/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178" fontId="4" fillId="0" borderId="0" xfId="1" applyNumberFormat="1" applyFont="1"/>
    <xf numFmtId="179" fontId="0" fillId="0" borderId="0" xfId="0" applyNumberFormat="1"/>
    <xf numFmtId="0" fontId="5" fillId="0" borderId="0" xfId="0" applyFont="1"/>
    <xf numFmtId="0" fontId="5" fillId="0" borderId="0" xfId="0" applyFont="1" applyProtection="1">
      <protection locked="0"/>
    </xf>
    <xf numFmtId="180" fontId="0" fillId="0" borderId="0" xfId="0" applyNumberFormat="1"/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6A41-8F1A-433A-8609-9468CA8D021F}">
  <dimension ref="A1:N192"/>
  <sheetViews>
    <sheetView tabSelected="1" topLeftCell="A77" workbookViewId="0">
      <selection activeCell="I84" sqref="I84"/>
    </sheetView>
  </sheetViews>
  <sheetFormatPr defaultRowHeight="15.3" x14ac:dyDescent="0.55000000000000004"/>
  <cols>
    <col min="1" max="1" width="22.41015625" bestFit="1" customWidth="1"/>
    <col min="2" max="2" width="16.41015625" bestFit="1" customWidth="1"/>
    <col min="3" max="3" width="16.29296875" bestFit="1" customWidth="1"/>
    <col min="4" max="4" width="12.5859375" bestFit="1" customWidth="1"/>
    <col min="7" max="7" width="13" customWidth="1"/>
    <col min="8" max="8" width="10.1171875" bestFit="1" customWidth="1"/>
    <col min="9" max="9" width="13.1171875" customWidth="1"/>
    <col min="11" max="11" width="10.5859375" bestFit="1" customWidth="1"/>
    <col min="12" max="12" width="11.5859375" bestFit="1" customWidth="1"/>
    <col min="13" max="13" width="10.1171875" customWidth="1"/>
  </cols>
  <sheetData>
    <row r="1" spans="1:11" ht="15.6" thickBot="1" x14ac:dyDescent="0.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55000000000000004">
      <c r="A2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901.67</v>
      </c>
      <c r="J2" s="5">
        <v>99.988569999999996</v>
      </c>
      <c r="K2" s="6">
        <v>129</v>
      </c>
    </row>
    <row r="3" spans="1:11" x14ac:dyDescent="0.55000000000000004">
      <c r="A3" t="s">
        <v>11</v>
      </c>
      <c r="B3" s="4" t="s">
        <v>12</v>
      </c>
      <c r="C3" s="4" t="s">
        <v>13</v>
      </c>
      <c r="D3" s="4" t="s">
        <v>19</v>
      </c>
      <c r="E3" s="4" t="s">
        <v>15</v>
      </c>
      <c r="F3" s="4" t="s">
        <v>16</v>
      </c>
      <c r="G3" s="4" t="s">
        <v>17</v>
      </c>
      <c r="H3" s="4" t="s">
        <v>18</v>
      </c>
      <c r="I3" s="4">
        <v>937.55</v>
      </c>
      <c r="J3" s="5">
        <v>99.988569999999996</v>
      </c>
      <c r="K3" s="6">
        <v>129</v>
      </c>
    </row>
    <row r="4" spans="1:11" x14ac:dyDescent="0.55000000000000004">
      <c r="A4" t="s">
        <v>11</v>
      </c>
      <c r="B4" s="4" t="s">
        <v>12</v>
      </c>
      <c r="C4" s="4" t="s">
        <v>13</v>
      </c>
      <c r="D4" s="4" t="s">
        <v>20</v>
      </c>
      <c r="E4" s="4" t="s">
        <v>15</v>
      </c>
      <c r="F4" s="4" t="s">
        <v>16</v>
      </c>
      <c r="G4" s="4" t="s">
        <v>17</v>
      </c>
      <c r="H4" s="4" t="s">
        <v>18</v>
      </c>
      <c r="I4" s="4">
        <v>918</v>
      </c>
      <c r="J4" s="5">
        <v>99.988569999999996</v>
      </c>
      <c r="K4" s="6">
        <v>129</v>
      </c>
    </row>
    <row r="5" spans="1:11" x14ac:dyDescent="0.55000000000000004">
      <c r="A5" t="s">
        <v>11</v>
      </c>
      <c r="B5" s="4" t="s">
        <v>12</v>
      </c>
      <c r="C5" s="4" t="s">
        <v>13</v>
      </c>
      <c r="D5" s="4" t="s">
        <v>21</v>
      </c>
      <c r="E5" s="4" t="s">
        <v>15</v>
      </c>
      <c r="F5" s="4" t="s">
        <v>16</v>
      </c>
      <c r="G5" s="4" t="s">
        <v>17</v>
      </c>
      <c r="H5" s="4" t="s">
        <v>18</v>
      </c>
      <c r="I5" s="4">
        <v>912.47</v>
      </c>
      <c r="J5" s="5">
        <v>99.988569999999996</v>
      </c>
      <c r="K5" s="6">
        <v>129</v>
      </c>
    </row>
    <row r="6" spans="1:11" x14ac:dyDescent="0.55000000000000004">
      <c r="A6" t="s">
        <v>11</v>
      </c>
      <c r="B6" s="4" t="s">
        <v>12</v>
      </c>
      <c r="C6" s="4" t="s">
        <v>13</v>
      </c>
      <c r="D6" s="4" t="s">
        <v>22</v>
      </c>
      <c r="E6" s="4" t="s">
        <v>15</v>
      </c>
      <c r="F6" s="4" t="s">
        <v>16</v>
      </c>
      <c r="G6" s="4" t="s">
        <v>17</v>
      </c>
      <c r="H6" s="4" t="s">
        <v>18</v>
      </c>
      <c r="I6" s="4">
        <v>929.93</v>
      </c>
      <c r="J6" s="5">
        <v>99.988569999999996</v>
      </c>
      <c r="K6" s="6">
        <v>129</v>
      </c>
    </row>
    <row r="7" spans="1:11" x14ac:dyDescent="0.55000000000000004">
      <c r="A7" t="s">
        <v>11</v>
      </c>
      <c r="B7" s="4" t="s">
        <v>12</v>
      </c>
      <c r="C7" s="4" t="s">
        <v>13</v>
      </c>
      <c r="D7" s="4" t="s">
        <v>23</v>
      </c>
      <c r="E7" s="4" t="s">
        <v>15</v>
      </c>
      <c r="F7" s="4" t="s">
        <v>16</v>
      </c>
      <c r="G7" s="4" t="s">
        <v>17</v>
      </c>
      <c r="H7" s="4" t="s">
        <v>18</v>
      </c>
      <c r="I7" s="4">
        <v>872.09</v>
      </c>
      <c r="J7" s="5">
        <v>99.988569999999996</v>
      </c>
      <c r="K7" s="6">
        <v>129</v>
      </c>
    </row>
    <row r="8" spans="1:11" x14ac:dyDescent="0.55000000000000004">
      <c r="A8" t="s">
        <v>11</v>
      </c>
      <c r="B8" s="4" t="s">
        <v>12</v>
      </c>
      <c r="C8" s="4" t="s">
        <v>13</v>
      </c>
      <c r="D8" s="4" t="s">
        <v>24</v>
      </c>
      <c r="E8" s="4" t="s">
        <v>15</v>
      </c>
      <c r="F8" s="4" t="s">
        <v>16</v>
      </c>
      <c r="G8" s="4" t="s">
        <v>17</v>
      </c>
      <c r="H8" s="4" t="s">
        <v>18</v>
      </c>
      <c r="I8" s="4">
        <v>913.95</v>
      </c>
      <c r="J8" s="5">
        <v>99.988209999999995</v>
      </c>
      <c r="K8" s="6">
        <v>130</v>
      </c>
    </row>
    <row r="9" spans="1:11" x14ac:dyDescent="0.55000000000000004">
      <c r="A9" t="s">
        <v>11</v>
      </c>
      <c r="B9" s="4" t="s">
        <v>12</v>
      </c>
      <c r="C9" s="4" t="s">
        <v>13</v>
      </c>
      <c r="D9" s="4" t="s">
        <v>25</v>
      </c>
      <c r="E9" s="4" t="s">
        <v>15</v>
      </c>
      <c r="F9" s="4" t="s">
        <v>16</v>
      </c>
      <c r="G9" s="4" t="s">
        <v>17</v>
      </c>
      <c r="H9" s="4" t="s">
        <v>18</v>
      </c>
      <c r="I9" s="4">
        <v>919.74</v>
      </c>
      <c r="J9" s="5">
        <v>99.988209999999995</v>
      </c>
      <c r="K9" s="6">
        <v>130</v>
      </c>
    </row>
    <row r="10" spans="1:11" x14ac:dyDescent="0.55000000000000004">
      <c r="A10" t="s">
        <v>11</v>
      </c>
      <c r="B10" s="4" t="s">
        <v>12</v>
      </c>
      <c r="C10" s="4" t="s">
        <v>13</v>
      </c>
      <c r="D10" s="4" t="s">
        <v>26</v>
      </c>
      <c r="E10" s="4" t="s">
        <v>15</v>
      </c>
      <c r="F10" s="4" t="s">
        <v>16</v>
      </c>
      <c r="G10" s="4" t="s">
        <v>17</v>
      </c>
      <c r="H10" s="4" t="s">
        <v>18</v>
      </c>
      <c r="I10" s="4">
        <v>940.09</v>
      </c>
      <c r="J10" s="5">
        <v>99.988209999999995</v>
      </c>
      <c r="K10" s="6">
        <v>130</v>
      </c>
    </row>
    <row r="11" spans="1:11" x14ac:dyDescent="0.55000000000000004">
      <c r="A11" t="s">
        <v>11</v>
      </c>
      <c r="B11" s="4" t="s">
        <v>12</v>
      </c>
      <c r="C11" s="4" t="s">
        <v>13</v>
      </c>
      <c r="D11" s="4" t="s">
        <v>27</v>
      </c>
      <c r="E11" s="4" t="s">
        <v>15</v>
      </c>
      <c r="F11" s="4" t="s">
        <v>16</v>
      </c>
      <c r="G11" s="4" t="s">
        <v>17</v>
      </c>
      <c r="H11" s="4" t="s">
        <v>18</v>
      </c>
      <c r="I11" s="4">
        <v>920.25</v>
      </c>
      <c r="J11" s="5">
        <v>99.988209999999995</v>
      </c>
      <c r="K11" s="6">
        <v>130</v>
      </c>
    </row>
    <row r="12" spans="1:11" x14ac:dyDescent="0.55000000000000004">
      <c r="A12" t="s">
        <v>11</v>
      </c>
      <c r="B12" s="4" t="s">
        <v>12</v>
      </c>
      <c r="C12" s="4" t="s">
        <v>13</v>
      </c>
      <c r="D12" s="4" t="s">
        <v>28</v>
      </c>
      <c r="E12" s="4" t="s">
        <v>15</v>
      </c>
      <c r="F12" s="4" t="s">
        <v>16</v>
      </c>
      <c r="G12" s="4" t="s">
        <v>17</v>
      </c>
      <c r="H12" s="4" t="s">
        <v>18</v>
      </c>
      <c r="I12" s="4">
        <v>932.76</v>
      </c>
      <c r="J12" s="5">
        <v>99.988209999999995</v>
      </c>
      <c r="K12" s="6">
        <v>130</v>
      </c>
    </row>
    <row r="13" spans="1:11" x14ac:dyDescent="0.55000000000000004">
      <c r="A13" t="s">
        <v>11</v>
      </c>
      <c r="B13" s="4" t="s">
        <v>12</v>
      </c>
      <c r="C13" s="4" t="s">
        <v>13</v>
      </c>
      <c r="D13" s="4" t="s">
        <v>29</v>
      </c>
      <c r="E13" s="4" t="s">
        <v>15</v>
      </c>
      <c r="F13" s="4" t="s">
        <v>16</v>
      </c>
      <c r="G13" s="4" t="s">
        <v>17</v>
      </c>
      <c r="H13" s="4" t="s">
        <v>18</v>
      </c>
      <c r="I13" s="4">
        <v>867.88</v>
      </c>
      <c r="J13" s="5">
        <v>99.988209999999995</v>
      </c>
      <c r="K13" s="6">
        <v>130</v>
      </c>
    </row>
    <row r="14" spans="1:11" x14ac:dyDescent="0.55000000000000004">
      <c r="A14" t="s">
        <v>11</v>
      </c>
      <c r="B14" s="4" t="s">
        <v>12</v>
      </c>
      <c r="C14" s="4" t="s">
        <v>13</v>
      </c>
      <c r="D14" s="4" t="s">
        <v>30</v>
      </c>
      <c r="E14" s="4" t="s">
        <v>15</v>
      </c>
      <c r="F14" s="4" t="s">
        <v>16</v>
      </c>
      <c r="G14" s="4" t="s">
        <v>17</v>
      </c>
      <c r="H14" s="4" t="s">
        <v>18</v>
      </c>
      <c r="I14" s="4">
        <v>918.83</v>
      </c>
      <c r="J14" s="5">
        <v>99.988209999999995</v>
      </c>
      <c r="K14" s="6">
        <v>130</v>
      </c>
    </row>
    <row r="15" spans="1:11" x14ac:dyDescent="0.55000000000000004">
      <c r="A15" t="s">
        <v>11</v>
      </c>
      <c r="B15" s="4" t="s">
        <v>12</v>
      </c>
      <c r="C15" s="4" t="s">
        <v>13</v>
      </c>
      <c r="D15" s="4" t="s">
        <v>31</v>
      </c>
      <c r="E15" s="4" t="s">
        <v>15</v>
      </c>
      <c r="F15" s="4" t="s">
        <v>16</v>
      </c>
      <c r="G15" s="4" t="s">
        <v>17</v>
      </c>
      <c r="H15" s="4" t="s">
        <v>18</v>
      </c>
      <c r="I15" s="4">
        <v>923.05</v>
      </c>
      <c r="J15" s="5">
        <v>99.988209999999995</v>
      </c>
      <c r="K15" s="6">
        <v>130</v>
      </c>
    </row>
    <row r="16" spans="1:11" x14ac:dyDescent="0.55000000000000004">
      <c r="A16" t="s">
        <v>11</v>
      </c>
      <c r="B16" s="4" t="s">
        <v>12</v>
      </c>
      <c r="C16" s="4" t="s">
        <v>13</v>
      </c>
      <c r="D16" s="4" t="s">
        <v>32</v>
      </c>
      <c r="E16" s="4" t="s">
        <v>15</v>
      </c>
      <c r="F16" s="4" t="s">
        <v>16</v>
      </c>
      <c r="G16" s="4" t="s">
        <v>17</v>
      </c>
      <c r="H16" s="4" t="s">
        <v>18</v>
      </c>
      <c r="I16" s="4">
        <v>986.58</v>
      </c>
      <c r="J16" s="5">
        <v>99.987480000000005</v>
      </c>
      <c r="K16" s="6">
        <v>131</v>
      </c>
    </row>
    <row r="17" spans="1:13" x14ac:dyDescent="0.55000000000000004">
      <c r="A17" t="s">
        <v>11</v>
      </c>
      <c r="B17" s="4" t="s">
        <v>12</v>
      </c>
      <c r="C17" s="4" t="s">
        <v>13</v>
      </c>
      <c r="D17" s="4" t="s">
        <v>33</v>
      </c>
      <c r="E17" s="4" t="s">
        <v>15</v>
      </c>
      <c r="F17" s="4" t="s">
        <v>16</v>
      </c>
      <c r="G17" s="4" t="s">
        <v>17</v>
      </c>
      <c r="H17" s="4" t="s">
        <v>18</v>
      </c>
      <c r="I17" s="4">
        <v>955.52</v>
      </c>
      <c r="J17" s="5">
        <v>99.987480000000005</v>
      </c>
      <c r="K17" s="6">
        <v>131</v>
      </c>
    </row>
    <row r="18" spans="1:13" x14ac:dyDescent="0.55000000000000004">
      <c r="A18" t="s">
        <v>11</v>
      </c>
      <c r="B18" s="4" t="s">
        <v>12</v>
      </c>
      <c r="C18" s="4" t="s">
        <v>13</v>
      </c>
      <c r="D18" s="4" t="s">
        <v>34</v>
      </c>
      <c r="E18" s="4" t="s">
        <v>15</v>
      </c>
      <c r="F18" s="4" t="s">
        <v>16</v>
      </c>
      <c r="G18" s="4" t="s">
        <v>17</v>
      </c>
      <c r="H18" s="4" t="s">
        <v>18</v>
      </c>
      <c r="I18" s="4">
        <v>970.79</v>
      </c>
      <c r="J18" s="5">
        <v>99.987480000000005</v>
      </c>
      <c r="K18" s="6">
        <v>131</v>
      </c>
    </row>
    <row r="19" spans="1:13" x14ac:dyDescent="0.55000000000000004">
      <c r="A19" t="s">
        <v>11</v>
      </c>
      <c r="B19" s="4" t="s">
        <v>12</v>
      </c>
      <c r="C19" s="4" t="s">
        <v>13</v>
      </c>
      <c r="D19" s="4" t="s">
        <v>35</v>
      </c>
      <c r="E19" s="4" t="s">
        <v>15</v>
      </c>
      <c r="F19" s="4" t="s">
        <v>16</v>
      </c>
      <c r="G19" s="4" t="s">
        <v>17</v>
      </c>
      <c r="H19" s="4" t="s">
        <v>18</v>
      </c>
      <c r="I19" s="4">
        <v>947.1</v>
      </c>
      <c r="J19" s="5">
        <v>99.987480000000005</v>
      </c>
      <c r="K19" s="6">
        <v>131</v>
      </c>
    </row>
    <row r="20" spans="1:13" x14ac:dyDescent="0.55000000000000004">
      <c r="A20" t="s">
        <v>11</v>
      </c>
      <c r="B20" s="4" t="s">
        <v>12</v>
      </c>
      <c r="C20" s="4" t="s">
        <v>13</v>
      </c>
      <c r="D20" s="4" t="s">
        <v>36</v>
      </c>
      <c r="E20" s="4" t="s">
        <v>15</v>
      </c>
      <c r="F20" s="4" t="s">
        <v>16</v>
      </c>
      <c r="G20" s="4" t="s">
        <v>17</v>
      </c>
      <c r="H20" s="4" t="s">
        <v>18</v>
      </c>
      <c r="I20" s="4">
        <v>949.28</v>
      </c>
      <c r="J20" s="5">
        <v>99.987480000000005</v>
      </c>
      <c r="K20" s="6">
        <v>131</v>
      </c>
    </row>
    <row r="21" spans="1:13" x14ac:dyDescent="0.55000000000000004">
      <c r="A21" t="s">
        <v>11</v>
      </c>
      <c r="B21" s="4" t="s">
        <v>12</v>
      </c>
      <c r="C21" s="4" t="s">
        <v>13</v>
      </c>
      <c r="D21" s="4" t="s">
        <v>37</v>
      </c>
      <c r="E21" s="4" t="s">
        <v>15</v>
      </c>
      <c r="F21" s="4" t="s">
        <v>16</v>
      </c>
      <c r="G21" s="4" t="s">
        <v>17</v>
      </c>
      <c r="H21" s="4" t="s">
        <v>18</v>
      </c>
      <c r="I21" s="4">
        <v>932.88</v>
      </c>
      <c r="J21" s="5">
        <v>99.987480000000005</v>
      </c>
      <c r="K21" s="6">
        <v>131</v>
      </c>
    </row>
    <row r="22" spans="1:13" x14ac:dyDescent="0.55000000000000004">
      <c r="A22" t="s">
        <v>11</v>
      </c>
      <c r="B22" s="4" t="s">
        <v>12</v>
      </c>
      <c r="C22" s="4" t="s">
        <v>13</v>
      </c>
      <c r="D22" s="4" t="s">
        <v>38</v>
      </c>
      <c r="E22" s="4" t="s">
        <v>15</v>
      </c>
      <c r="F22" s="4" t="s">
        <v>16</v>
      </c>
      <c r="G22" s="4" t="s">
        <v>17</v>
      </c>
      <c r="H22" s="4" t="s">
        <v>18</v>
      </c>
      <c r="I22" s="4">
        <v>983.78</v>
      </c>
      <c r="J22" s="5">
        <v>99.987480000000005</v>
      </c>
      <c r="K22" s="6">
        <v>131</v>
      </c>
    </row>
    <row r="23" spans="1:13" x14ac:dyDescent="0.55000000000000004">
      <c r="A23" t="s">
        <v>11</v>
      </c>
      <c r="B23" s="4" t="s">
        <v>12</v>
      </c>
      <c r="C23" s="4" t="s">
        <v>13</v>
      </c>
      <c r="D23" s="4" t="s">
        <v>39</v>
      </c>
      <c r="E23" s="4" t="s">
        <v>15</v>
      </c>
      <c r="F23" s="4" t="s">
        <v>16</v>
      </c>
      <c r="G23" s="4" t="s">
        <v>17</v>
      </c>
      <c r="H23" s="4" t="s">
        <v>18</v>
      </c>
      <c r="I23" s="4">
        <v>965.71</v>
      </c>
      <c r="J23" s="5">
        <v>99.987480000000005</v>
      </c>
      <c r="K23" s="6">
        <v>131</v>
      </c>
    </row>
    <row r="24" spans="1:13" x14ac:dyDescent="0.55000000000000004">
      <c r="A24" t="s">
        <v>11</v>
      </c>
      <c r="B24" s="4" t="s">
        <v>12</v>
      </c>
      <c r="C24" s="4" t="s">
        <v>13</v>
      </c>
      <c r="D24" s="4" t="s">
        <v>40</v>
      </c>
      <c r="E24" s="4" t="s">
        <v>15</v>
      </c>
      <c r="F24" s="4" t="s">
        <v>16</v>
      </c>
      <c r="G24" s="4" t="s">
        <v>17</v>
      </c>
      <c r="H24" s="4" t="s">
        <v>18</v>
      </c>
      <c r="I24" s="4">
        <v>851.03</v>
      </c>
      <c r="J24" s="5">
        <v>99.987870000000001</v>
      </c>
      <c r="K24" s="6">
        <v>132</v>
      </c>
    </row>
    <row r="25" spans="1:13" x14ac:dyDescent="0.55000000000000004">
      <c r="A25" t="s">
        <v>11</v>
      </c>
      <c r="B25" s="4" t="s">
        <v>12</v>
      </c>
      <c r="C25" s="4" t="s">
        <v>13</v>
      </c>
      <c r="D25" s="4" t="s">
        <v>41</v>
      </c>
      <c r="E25" s="4" t="s">
        <v>15</v>
      </c>
      <c r="F25" s="4" t="s">
        <v>16</v>
      </c>
      <c r="G25" s="4" t="s">
        <v>17</v>
      </c>
      <c r="H25" s="4" t="s">
        <v>18</v>
      </c>
      <c r="I25" s="4">
        <v>889.06</v>
      </c>
      <c r="J25" s="5">
        <v>99.987870000000001</v>
      </c>
      <c r="K25" s="6">
        <v>132</v>
      </c>
    </row>
    <row r="26" spans="1:13" x14ac:dyDescent="0.55000000000000004">
      <c r="A26" t="s">
        <v>11</v>
      </c>
      <c r="B26" s="4" t="s">
        <v>12</v>
      </c>
      <c r="C26" s="4" t="s">
        <v>13</v>
      </c>
      <c r="D26" s="4" t="s">
        <v>42</v>
      </c>
      <c r="E26" s="4" t="s">
        <v>15</v>
      </c>
      <c r="F26" s="4" t="s">
        <v>16</v>
      </c>
      <c r="G26" s="4" t="s">
        <v>17</v>
      </c>
      <c r="H26" s="4" t="s">
        <v>18</v>
      </c>
      <c r="I26" s="4">
        <v>941.6</v>
      </c>
      <c r="J26" s="5">
        <v>99.987870000000001</v>
      </c>
      <c r="K26" s="6">
        <v>132</v>
      </c>
    </row>
    <row r="27" spans="1:13" x14ac:dyDescent="0.55000000000000004">
      <c r="A27" t="s">
        <v>11</v>
      </c>
      <c r="B27" s="4" t="s">
        <v>12</v>
      </c>
      <c r="C27" s="4" t="s">
        <v>13</v>
      </c>
      <c r="D27" s="4" t="s">
        <v>43</v>
      </c>
      <c r="E27" s="4" t="s">
        <v>15</v>
      </c>
      <c r="F27" s="4" t="s">
        <v>16</v>
      </c>
      <c r="G27" s="4" t="s">
        <v>17</v>
      </c>
      <c r="H27" s="4" t="s">
        <v>18</v>
      </c>
      <c r="I27" s="4">
        <v>913.34</v>
      </c>
      <c r="J27" s="5">
        <v>99.987870000000001</v>
      </c>
      <c r="K27" s="6">
        <v>132</v>
      </c>
    </row>
    <row r="28" spans="1:13" x14ac:dyDescent="0.55000000000000004">
      <c r="A28" t="s">
        <v>11</v>
      </c>
      <c r="B28" s="4" t="s">
        <v>12</v>
      </c>
      <c r="C28" s="4" t="s">
        <v>13</v>
      </c>
      <c r="D28" s="4" t="s">
        <v>44</v>
      </c>
      <c r="E28" s="4" t="s">
        <v>15</v>
      </c>
      <c r="F28" s="4" t="s">
        <v>16</v>
      </c>
      <c r="G28" s="4" t="s">
        <v>17</v>
      </c>
      <c r="H28" s="4" t="s">
        <v>18</v>
      </c>
      <c r="I28" s="4">
        <v>887.78</v>
      </c>
      <c r="J28" s="5">
        <v>99.987870000000001</v>
      </c>
      <c r="K28" s="6">
        <v>132</v>
      </c>
    </row>
    <row r="29" spans="1:13" x14ac:dyDescent="0.55000000000000004">
      <c r="A29" t="s">
        <v>11</v>
      </c>
      <c r="B29" s="4" t="s">
        <v>12</v>
      </c>
      <c r="C29" s="4" t="s">
        <v>13</v>
      </c>
      <c r="D29" s="4" t="s">
        <v>45</v>
      </c>
      <c r="E29" s="4" t="s">
        <v>15</v>
      </c>
      <c r="F29" s="4" t="s">
        <v>16</v>
      </c>
      <c r="G29" s="4" t="s">
        <v>17</v>
      </c>
      <c r="H29" s="4" t="s">
        <v>18</v>
      </c>
      <c r="I29" s="4">
        <v>946.48</v>
      </c>
      <c r="J29" s="5">
        <v>99.987870000000001</v>
      </c>
      <c r="K29" s="6">
        <v>132</v>
      </c>
    </row>
    <row r="30" spans="1:13" x14ac:dyDescent="0.55000000000000004">
      <c r="A30" t="s">
        <v>11</v>
      </c>
      <c r="B30" s="4" t="s">
        <v>12</v>
      </c>
      <c r="C30" s="4" t="s">
        <v>13</v>
      </c>
      <c r="D30" s="4" t="s">
        <v>46</v>
      </c>
      <c r="E30" s="4" t="s">
        <v>15</v>
      </c>
      <c r="F30" s="4" t="s">
        <v>16</v>
      </c>
      <c r="G30" s="4" t="s">
        <v>17</v>
      </c>
      <c r="H30" s="4" t="s">
        <v>18</v>
      </c>
      <c r="I30" s="4">
        <v>938.41</v>
      </c>
      <c r="J30" s="5">
        <v>99.987870000000001</v>
      </c>
      <c r="K30" s="6">
        <v>132</v>
      </c>
    </row>
    <row r="31" spans="1:13" x14ac:dyDescent="0.55000000000000004">
      <c r="A31" t="s">
        <v>11</v>
      </c>
      <c r="B31" s="4" t="s">
        <v>12</v>
      </c>
      <c r="C31" s="4" t="s">
        <v>13</v>
      </c>
      <c r="D31" s="4" t="s">
        <v>47</v>
      </c>
      <c r="E31" s="4" t="s">
        <v>15</v>
      </c>
      <c r="F31" s="4" t="s">
        <v>16</v>
      </c>
      <c r="G31" s="4" t="s">
        <v>17</v>
      </c>
      <c r="H31" s="4" t="s">
        <v>18</v>
      </c>
      <c r="I31" s="4">
        <v>986.32</v>
      </c>
      <c r="J31" s="5">
        <v>99.987870000000001</v>
      </c>
      <c r="K31" s="6">
        <v>132</v>
      </c>
      <c r="L31">
        <f>SUM(I2:I31)</f>
        <v>27853.919999999991</v>
      </c>
      <c r="M31">
        <f>L31/32.1507</f>
        <v>866.35500937771155</v>
      </c>
    </row>
    <row r="32" spans="1:13" x14ac:dyDescent="0.55000000000000004">
      <c r="A32" t="s">
        <v>11</v>
      </c>
      <c r="B32" s="4" t="s">
        <v>12</v>
      </c>
      <c r="C32" s="4" t="s">
        <v>13</v>
      </c>
      <c r="D32" s="4" t="s">
        <v>48</v>
      </c>
      <c r="E32" s="4" t="s">
        <v>15</v>
      </c>
      <c r="F32" s="4" t="s">
        <v>16</v>
      </c>
      <c r="G32" s="4" t="s">
        <v>49</v>
      </c>
      <c r="H32" s="4" t="s">
        <v>18</v>
      </c>
      <c r="I32" s="4">
        <v>999.31</v>
      </c>
      <c r="J32" s="5">
        <v>99.97578</v>
      </c>
      <c r="K32" s="6">
        <v>26</v>
      </c>
    </row>
    <row r="33" spans="1:11" x14ac:dyDescent="0.55000000000000004">
      <c r="A33" t="s">
        <v>11</v>
      </c>
      <c r="B33" s="4" t="s">
        <v>12</v>
      </c>
      <c r="C33" s="4" t="s">
        <v>13</v>
      </c>
      <c r="D33" s="4" t="s">
        <v>50</v>
      </c>
      <c r="E33" s="4" t="s">
        <v>15</v>
      </c>
      <c r="F33" s="4" t="s">
        <v>16</v>
      </c>
      <c r="G33" s="4" t="s">
        <v>49</v>
      </c>
      <c r="H33" s="4" t="s">
        <v>18</v>
      </c>
      <c r="I33" s="4">
        <v>931.08</v>
      </c>
      <c r="J33" s="5">
        <v>99.97578</v>
      </c>
      <c r="K33" s="6">
        <v>26</v>
      </c>
    </row>
    <row r="34" spans="1:11" x14ac:dyDescent="0.55000000000000004">
      <c r="A34" t="s">
        <v>11</v>
      </c>
      <c r="B34" s="4" t="s">
        <v>12</v>
      </c>
      <c r="C34" s="4" t="s">
        <v>13</v>
      </c>
      <c r="D34" s="4" t="s">
        <v>51</v>
      </c>
      <c r="E34" s="4" t="s">
        <v>15</v>
      </c>
      <c r="F34" s="4" t="s">
        <v>16</v>
      </c>
      <c r="G34" s="4" t="s">
        <v>49</v>
      </c>
      <c r="H34" s="4" t="s">
        <v>18</v>
      </c>
      <c r="I34" s="4">
        <v>953.04</v>
      </c>
      <c r="J34" s="5">
        <v>99.97578</v>
      </c>
      <c r="K34" s="6">
        <v>26</v>
      </c>
    </row>
    <row r="35" spans="1:11" x14ac:dyDescent="0.55000000000000004">
      <c r="A35" t="s">
        <v>11</v>
      </c>
      <c r="B35" s="4" t="s">
        <v>12</v>
      </c>
      <c r="C35" s="4" t="s">
        <v>13</v>
      </c>
      <c r="D35" s="4" t="s">
        <v>52</v>
      </c>
      <c r="E35" s="4" t="s">
        <v>15</v>
      </c>
      <c r="F35" s="4" t="s">
        <v>16</v>
      </c>
      <c r="G35" s="4" t="s">
        <v>49</v>
      </c>
      <c r="H35" s="4" t="s">
        <v>18</v>
      </c>
      <c r="I35" s="4">
        <v>907.52</v>
      </c>
      <c r="J35" s="5">
        <v>99.97578</v>
      </c>
      <c r="K35" s="6">
        <v>26</v>
      </c>
    </row>
    <row r="36" spans="1:11" x14ac:dyDescent="0.55000000000000004">
      <c r="A36" t="s">
        <v>11</v>
      </c>
      <c r="B36" s="4" t="s">
        <v>12</v>
      </c>
      <c r="C36" s="4" t="s">
        <v>13</v>
      </c>
      <c r="D36" s="4" t="s">
        <v>53</v>
      </c>
      <c r="E36" s="4" t="s">
        <v>15</v>
      </c>
      <c r="F36" s="4" t="s">
        <v>16</v>
      </c>
      <c r="G36" s="4" t="s">
        <v>49</v>
      </c>
      <c r="H36" s="4" t="s">
        <v>18</v>
      </c>
      <c r="I36" s="4">
        <v>948.32</v>
      </c>
      <c r="J36" s="5">
        <v>99.97578</v>
      </c>
      <c r="K36" s="6">
        <v>26</v>
      </c>
    </row>
    <row r="37" spans="1:11" x14ac:dyDescent="0.55000000000000004">
      <c r="A37" t="s">
        <v>11</v>
      </c>
      <c r="B37" s="4" t="s">
        <v>12</v>
      </c>
      <c r="C37" s="4" t="s">
        <v>13</v>
      </c>
      <c r="D37" s="4" t="s">
        <v>54</v>
      </c>
      <c r="E37" s="4" t="s">
        <v>15</v>
      </c>
      <c r="F37" s="4" t="s">
        <v>16</v>
      </c>
      <c r="G37" s="4" t="s">
        <v>49</v>
      </c>
      <c r="H37" s="4" t="s">
        <v>18</v>
      </c>
      <c r="I37" s="4">
        <v>924.08</v>
      </c>
      <c r="J37" s="5">
        <v>99.97578</v>
      </c>
      <c r="K37" s="6">
        <v>26</v>
      </c>
    </row>
    <row r="38" spans="1:11" x14ac:dyDescent="0.55000000000000004">
      <c r="A38" t="s">
        <v>11</v>
      </c>
      <c r="B38" s="4" t="s">
        <v>12</v>
      </c>
      <c r="C38" s="4" t="s">
        <v>13</v>
      </c>
      <c r="D38" s="4" t="s">
        <v>55</v>
      </c>
      <c r="E38" s="4" t="s">
        <v>15</v>
      </c>
      <c r="F38" s="4" t="s">
        <v>16</v>
      </c>
      <c r="G38" s="4" t="s">
        <v>49</v>
      </c>
      <c r="H38" s="4" t="s">
        <v>18</v>
      </c>
      <c r="I38" s="4">
        <v>897.17</v>
      </c>
      <c r="J38" s="5">
        <v>99.97578</v>
      </c>
      <c r="K38" s="6">
        <v>26</v>
      </c>
    </row>
    <row r="39" spans="1:11" x14ac:dyDescent="0.55000000000000004">
      <c r="A39" t="s">
        <v>11</v>
      </c>
      <c r="B39" s="4" t="s">
        <v>12</v>
      </c>
      <c r="C39" s="4" t="s">
        <v>13</v>
      </c>
      <c r="D39" s="4" t="s">
        <v>56</v>
      </c>
      <c r="E39" s="4" t="s">
        <v>15</v>
      </c>
      <c r="F39" s="4" t="s">
        <v>16</v>
      </c>
      <c r="G39" s="4" t="s">
        <v>49</v>
      </c>
      <c r="H39" s="4" t="s">
        <v>18</v>
      </c>
      <c r="I39" s="4">
        <v>870.64</v>
      </c>
      <c r="J39" s="5">
        <v>99.97578</v>
      </c>
      <c r="K39" s="6">
        <v>26</v>
      </c>
    </row>
    <row r="40" spans="1:11" x14ac:dyDescent="0.55000000000000004">
      <c r="A40" t="s">
        <v>11</v>
      </c>
      <c r="B40" s="4" t="s">
        <v>12</v>
      </c>
      <c r="C40" s="4" t="s">
        <v>13</v>
      </c>
      <c r="D40" s="4" t="s">
        <v>57</v>
      </c>
      <c r="E40" s="4" t="s">
        <v>15</v>
      </c>
      <c r="F40" s="4" t="s">
        <v>16</v>
      </c>
      <c r="G40" s="4" t="s">
        <v>49</v>
      </c>
      <c r="H40" s="4" t="s">
        <v>18</v>
      </c>
      <c r="I40" s="4">
        <v>887.68</v>
      </c>
      <c r="J40" s="5">
        <v>99.985500000000002</v>
      </c>
      <c r="K40" s="6">
        <v>27</v>
      </c>
    </row>
    <row r="41" spans="1:11" x14ac:dyDescent="0.55000000000000004">
      <c r="A41" t="s">
        <v>11</v>
      </c>
      <c r="B41" s="4" t="s">
        <v>12</v>
      </c>
      <c r="C41" s="4" t="s">
        <v>13</v>
      </c>
      <c r="D41" s="4" t="s">
        <v>58</v>
      </c>
      <c r="E41" s="4" t="s">
        <v>15</v>
      </c>
      <c r="F41" s="4" t="s">
        <v>16</v>
      </c>
      <c r="G41" s="4" t="s">
        <v>49</v>
      </c>
      <c r="H41" s="4" t="s">
        <v>18</v>
      </c>
      <c r="I41" s="4">
        <v>949.35</v>
      </c>
      <c r="J41" s="5">
        <v>99.985500000000002</v>
      </c>
      <c r="K41" s="6">
        <v>27</v>
      </c>
    </row>
    <row r="42" spans="1:11" x14ac:dyDescent="0.55000000000000004">
      <c r="A42" t="s">
        <v>11</v>
      </c>
      <c r="B42" s="4" t="s">
        <v>12</v>
      </c>
      <c r="C42" s="4" t="s">
        <v>13</v>
      </c>
      <c r="D42" s="4" t="s">
        <v>59</v>
      </c>
      <c r="E42" s="4" t="s">
        <v>15</v>
      </c>
      <c r="F42" s="4" t="s">
        <v>16</v>
      </c>
      <c r="G42" s="4" t="s">
        <v>49</v>
      </c>
      <c r="H42" s="4" t="s">
        <v>18</v>
      </c>
      <c r="I42" s="4">
        <v>953.72</v>
      </c>
      <c r="J42" s="5">
        <v>99.985500000000002</v>
      </c>
      <c r="K42" s="6">
        <v>27</v>
      </c>
    </row>
    <row r="43" spans="1:11" x14ac:dyDescent="0.55000000000000004">
      <c r="A43" t="s">
        <v>11</v>
      </c>
      <c r="B43" s="4" t="s">
        <v>12</v>
      </c>
      <c r="C43" s="4" t="s">
        <v>13</v>
      </c>
      <c r="D43" s="4" t="s">
        <v>60</v>
      </c>
      <c r="E43" s="4" t="s">
        <v>15</v>
      </c>
      <c r="F43" s="4" t="s">
        <v>16</v>
      </c>
      <c r="G43" s="4" t="s">
        <v>49</v>
      </c>
      <c r="H43" s="4" t="s">
        <v>18</v>
      </c>
      <c r="I43" s="4">
        <v>894.98</v>
      </c>
      <c r="J43" s="5">
        <v>99.985500000000002</v>
      </c>
      <c r="K43" s="6">
        <v>27</v>
      </c>
    </row>
    <row r="44" spans="1:11" x14ac:dyDescent="0.55000000000000004">
      <c r="A44" t="s">
        <v>11</v>
      </c>
      <c r="B44" s="4" t="s">
        <v>12</v>
      </c>
      <c r="C44" s="4" t="s">
        <v>13</v>
      </c>
      <c r="D44" s="4" t="s">
        <v>61</v>
      </c>
      <c r="E44" s="4" t="s">
        <v>15</v>
      </c>
      <c r="F44" s="4" t="s">
        <v>16</v>
      </c>
      <c r="G44" s="4" t="s">
        <v>49</v>
      </c>
      <c r="H44" s="4" t="s">
        <v>18</v>
      </c>
      <c r="I44" s="4">
        <v>883.79</v>
      </c>
      <c r="J44" s="5">
        <v>99.985500000000002</v>
      </c>
      <c r="K44" s="6">
        <v>27</v>
      </c>
    </row>
    <row r="45" spans="1:11" x14ac:dyDescent="0.55000000000000004">
      <c r="A45" t="s">
        <v>11</v>
      </c>
      <c r="B45" s="4" t="s">
        <v>12</v>
      </c>
      <c r="C45" s="4" t="s">
        <v>13</v>
      </c>
      <c r="D45" s="4" t="s">
        <v>62</v>
      </c>
      <c r="E45" s="4" t="s">
        <v>15</v>
      </c>
      <c r="F45" s="4" t="s">
        <v>16</v>
      </c>
      <c r="G45" s="4" t="s">
        <v>49</v>
      </c>
      <c r="H45" s="4" t="s">
        <v>18</v>
      </c>
      <c r="I45" s="4">
        <v>945.33</v>
      </c>
      <c r="J45" s="5">
        <v>99.985500000000002</v>
      </c>
      <c r="K45" s="6">
        <v>27</v>
      </c>
    </row>
    <row r="46" spans="1:11" x14ac:dyDescent="0.55000000000000004">
      <c r="A46" t="s">
        <v>11</v>
      </c>
      <c r="B46" s="4" t="s">
        <v>12</v>
      </c>
      <c r="C46" s="4" t="s">
        <v>13</v>
      </c>
      <c r="D46" s="4" t="s">
        <v>63</v>
      </c>
      <c r="E46" s="4" t="s">
        <v>15</v>
      </c>
      <c r="F46" s="4" t="s">
        <v>16</v>
      </c>
      <c r="G46" s="4" t="s">
        <v>49</v>
      </c>
      <c r="H46" s="4" t="s">
        <v>18</v>
      </c>
      <c r="I46" s="4">
        <v>901.67</v>
      </c>
      <c r="J46" s="5">
        <v>99.985500000000002</v>
      </c>
      <c r="K46" s="6">
        <v>27</v>
      </c>
    </row>
    <row r="47" spans="1:11" x14ac:dyDescent="0.55000000000000004">
      <c r="A47" t="s">
        <v>11</v>
      </c>
      <c r="B47" s="4" t="s">
        <v>12</v>
      </c>
      <c r="C47" s="4" t="s">
        <v>13</v>
      </c>
      <c r="D47" s="4" t="s">
        <v>64</v>
      </c>
      <c r="E47" s="4" t="s">
        <v>15</v>
      </c>
      <c r="F47" s="4" t="s">
        <v>16</v>
      </c>
      <c r="G47" s="4" t="s">
        <v>49</v>
      </c>
      <c r="H47" s="4" t="s">
        <v>18</v>
      </c>
      <c r="I47" s="4">
        <v>959.99</v>
      </c>
      <c r="J47" s="5">
        <v>99.985500000000002</v>
      </c>
      <c r="K47" s="6">
        <v>27</v>
      </c>
    </row>
    <row r="48" spans="1:11" x14ac:dyDescent="0.55000000000000004">
      <c r="A48" t="s">
        <v>11</v>
      </c>
      <c r="B48" s="4" t="s">
        <v>12</v>
      </c>
      <c r="C48" s="4" t="s">
        <v>13</v>
      </c>
      <c r="D48" s="4" t="s">
        <v>65</v>
      </c>
      <c r="E48" s="4" t="s">
        <v>15</v>
      </c>
      <c r="F48" s="4" t="s">
        <v>16</v>
      </c>
      <c r="G48" s="4" t="s">
        <v>49</v>
      </c>
      <c r="H48" s="4" t="s">
        <v>18</v>
      </c>
      <c r="I48" s="4">
        <v>978.67</v>
      </c>
      <c r="J48" s="5">
        <v>99.988659999999996</v>
      </c>
      <c r="K48" s="6">
        <v>28</v>
      </c>
    </row>
    <row r="49" spans="1:13" x14ac:dyDescent="0.55000000000000004">
      <c r="A49" t="s">
        <v>11</v>
      </c>
      <c r="B49" s="4" t="s">
        <v>12</v>
      </c>
      <c r="C49" s="4" t="s">
        <v>13</v>
      </c>
      <c r="D49" s="4" t="s">
        <v>66</v>
      </c>
      <c r="E49" s="4" t="s">
        <v>15</v>
      </c>
      <c r="F49" s="4" t="s">
        <v>16</v>
      </c>
      <c r="G49" s="4" t="s">
        <v>49</v>
      </c>
      <c r="H49" s="4" t="s">
        <v>18</v>
      </c>
      <c r="I49" s="4">
        <v>920.73</v>
      </c>
      <c r="J49" s="5">
        <v>99.988659999999996</v>
      </c>
      <c r="K49" s="6">
        <v>28</v>
      </c>
    </row>
    <row r="50" spans="1:13" x14ac:dyDescent="0.55000000000000004">
      <c r="A50" t="s">
        <v>11</v>
      </c>
      <c r="B50" s="4" t="s">
        <v>12</v>
      </c>
      <c r="C50" s="4" t="s">
        <v>13</v>
      </c>
      <c r="D50" s="4" t="s">
        <v>67</v>
      </c>
      <c r="E50" s="4" t="s">
        <v>15</v>
      </c>
      <c r="F50" s="4" t="s">
        <v>16</v>
      </c>
      <c r="G50" s="4" t="s">
        <v>49</v>
      </c>
      <c r="H50" s="4" t="s">
        <v>18</v>
      </c>
      <c r="I50" s="4">
        <v>979.89</v>
      </c>
      <c r="J50" s="5">
        <v>99.988659999999996</v>
      </c>
      <c r="K50" s="6">
        <v>28</v>
      </c>
    </row>
    <row r="51" spans="1:13" x14ac:dyDescent="0.55000000000000004">
      <c r="A51" t="s">
        <v>11</v>
      </c>
      <c r="B51" s="4" t="s">
        <v>12</v>
      </c>
      <c r="C51" s="4" t="s">
        <v>13</v>
      </c>
      <c r="D51" s="4" t="s">
        <v>68</v>
      </c>
      <c r="E51" s="4" t="s">
        <v>15</v>
      </c>
      <c r="F51" s="4" t="s">
        <v>16</v>
      </c>
      <c r="G51" s="4" t="s">
        <v>49</v>
      </c>
      <c r="H51" s="4" t="s">
        <v>18</v>
      </c>
      <c r="I51" s="4">
        <v>924.88</v>
      </c>
      <c r="J51" s="5">
        <v>99.988659999999996</v>
      </c>
      <c r="K51" s="6">
        <v>28</v>
      </c>
    </row>
    <row r="52" spans="1:13" x14ac:dyDescent="0.55000000000000004">
      <c r="A52" t="s">
        <v>11</v>
      </c>
      <c r="B52" s="4" t="s">
        <v>12</v>
      </c>
      <c r="C52" s="4" t="s">
        <v>13</v>
      </c>
      <c r="D52" s="4" t="s">
        <v>69</v>
      </c>
      <c r="E52" s="4" t="s">
        <v>15</v>
      </c>
      <c r="F52" s="4" t="s">
        <v>16</v>
      </c>
      <c r="G52" s="4" t="s">
        <v>49</v>
      </c>
      <c r="H52" s="4" t="s">
        <v>18</v>
      </c>
      <c r="I52" s="4">
        <v>916.42</v>
      </c>
      <c r="J52" s="5">
        <v>99.961029999999994</v>
      </c>
      <c r="K52" s="6">
        <v>24</v>
      </c>
    </row>
    <row r="53" spans="1:13" x14ac:dyDescent="0.55000000000000004">
      <c r="A53" t="s">
        <v>11</v>
      </c>
      <c r="B53" s="4" t="s">
        <v>12</v>
      </c>
      <c r="C53" s="4" t="s">
        <v>13</v>
      </c>
      <c r="D53" s="4" t="s">
        <v>70</v>
      </c>
      <c r="E53" s="4" t="s">
        <v>15</v>
      </c>
      <c r="F53" s="4" t="s">
        <v>16</v>
      </c>
      <c r="G53" s="4" t="s">
        <v>49</v>
      </c>
      <c r="H53" s="4" t="s">
        <v>18</v>
      </c>
      <c r="I53" s="4">
        <v>909.93</v>
      </c>
      <c r="J53" s="5">
        <v>99.961029999999994</v>
      </c>
      <c r="K53" s="6">
        <v>24</v>
      </c>
    </row>
    <row r="54" spans="1:13" x14ac:dyDescent="0.55000000000000004">
      <c r="A54" t="s">
        <v>11</v>
      </c>
      <c r="B54" s="4" t="s">
        <v>12</v>
      </c>
      <c r="C54" s="4" t="s">
        <v>13</v>
      </c>
      <c r="D54" s="4" t="s">
        <v>71</v>
      </c>
      <c r="E54" s="4" t="s">
        <v>15</v>
      </c>
      <c r="F54" s="4" t="s">
        <v>16</v>
      </c>
      <c r="G54" s="4" t="s">
        <v>49</v>
      </c>
      <c r="H54" s="4" t="s">
        <v>18</v>
      </c>
      <c r="I54" s="4">
        <v>931.44</v>
      </c>
      <c r="J54" s="5">
        <v>99.945229999999995</v>
      </c>
      <c r="K54" s="6">
        <v>25</v>
      </c>
    </row>
    <row r="55" spans="1:13" x14ac:dyDescent="0.55000000000000004">
      <c r="A55" t="s">
        <v>11</v>
      </c>
      <c r="B55" s="4" t="s">
        <v>12</v>
      </c>
      <c r="C55" s="4" t="s">
        <v>13</v>
      </c>
      <c r="D55" s="4" t="s">
        <v>72</v>
      </c>
      <c r="E55" s="4" t="s">
        <v>15</v>
      </c>
      <c r="F55" s="4" t="s">
        <v>16</v>
      </c>
      <c r="G55" s="4" t="s">
        <v>49</v>
      </c>
      <c r="H55" s="4" t="s">
        <v>18</v>
      </c>
      <c r="I55" s="4">
        <v>937.68</v>
      </c>
      <c r="J55" s="5">
        <v>99.945229999999995</v>
      </c>
      <c r="K55" s="6">
        <v>25</v>
      </c>
    </row>
    <row r="56" spans="1:13" x14ac:dyDescent="0.55000000000000004">
      <c r="A56" t="s">
        <v>11</v>
      </c>
      <c r="B56" s="4" t="s">
        <v>12</v>
      </c>
      <c r="C56" s="4" t="s">
        <v>13</v>
      </c>
      <c r="D56" s="4" t="s">
        <v>73</v>
      </c>
      <c r="E56" s="4" t="s">
        <v>15</v>
      </c>
      <c r="F56" s="4" t="s">
        <v>16</v>
      </c>
      <c r="G56" s="4" t="s">
        <v>49</v>
      </c>
      <c r="H56" s="4" t="s">
        <v>18</v>
      </c>
      <c r="I56" s="4">
        <v>927.93</v>
      </c>
      <c r="J56" s="5">
        <v>99.945229999999995</v>
      </c>
      <c r="K56" s="6">
        <v>25</v>
      </c>
    </row>
    <row r="57" spans="1:13" x14ac:dyDescent="0.55000000000000004">
      <c r="A57" t="s">
        <v>11</v>
      </c>
      <c r="B57" s="4" t="s">
        <v>12</v>
      </c>
      <c r="C57" s="4" t="s">
        <v>13</v>
      </c>
      <c r="D57" s="4" t="s">
        <v>74</v>
      </c>
      <c r="E57" s="4" t="s">
        <v>15</v>
      </c>
      <c r="F57" s="4" t="s">
        <v>16</v>
      </c>
      <c r="G57" s="4" t="s">
        <v>49</v>
      </c>
      <c r="H57" s="4" t="s">
        <v>18</v>
      </c>
      <c r="I57" s="4">
        <v>931.82</v>
      </c>
      <c r="J57" s="5">
        <v>99.945229999999995</v>
      </c>
      <c r="K57" s="6">
        <v>25</v>
      </c>
    </row>
    <row r="58" spans="1:13" x14ac:dyDescent="0.55000000000000004">
      <c r="A58" t="s">
        <v>11</v>
      </c>
      <c r="B58" s="4" t="s">
        <v>12</v>
      </c>
      <c r="C58" s="4" t="s">
        <v>13</v>
      </c>
      <c r="D58" s="4" t="s">
        <v>75</v>
      </c>
      <c r="E58" s="4" t="s">
        <v>15</v>
      </c>
      <c r="F58" s="4" t="s">
        <v>16</v>
      </c>
      <c r="G58" s="4" t="s">
        <v>49</v>
      </c>
      <c r="H58" s="4" t="s">
        <v>18</v>
      </c>
      <c r="I58" s="4">
        <v>906.26</v>
      </c>
      <c r="J58" s="5">
        <v>99.945229999999995</v>
      </c>
      <c r="K58" s="6">
        <v>25</v>
      </c>
    </row>
    <row r="59" spans="1:13" x14ac:dyDescent="0.55000000000000004">
      <c r="A59" t="s">
        <v>11</v>
      </c>
      <c r="B59" s="4" t="s">
        <v>12</v>
      </c>
      <c r="C59" s="4" t="s">
        <v>13</v>
      </c>
      <c r="D59" s="4" t="s">
        <v>76</v>
      </c>
      <c r="E59" s="4" t="s">
        <v>15</v>
      </c>
      <c r="F59" s="4" t="s">
        <v>16</v>
      </c>
      <c r="G59" s="4" t="s">
        <v>49</v>
      </c>
      <c r="H59" s="4" t="s">
        <v>18</v>
      </c>
      <c r="I59" s="4">
        <v>929.51</v>
      </c>
      <c r="J59" s="5">
        <v>99.945229999999995</v>
      </c>
      <c r="K59" s="6">
        <v>25</v>
      </c>
    </row>
    <row r="60" spans="1:13" x14ac:dyDescent="0.55000000000000004">
      <c r="A60" t="s">
        <v>11</v>
      </c>
      <c r="B60" s="4" t="s">
        <v>12</v>
      </c>
      <c r="C60" s="4" t="s">
        <v>13</v>
      </c>
      <c r="D60" s="4" t="s">
        <v>77</v>
      </c>
      <c r="E60" s="4" t="s">
        <v>15</v>
      </c>
      <c r="F60" s="4" t="s">
        <v>16</v>
      </c>
      <c r="G60" s="4" t="s">
        <v>49</v>
      </c>
      <c r="H60" s="4" t="s">
        <v>18</v>
      </c>
      <c r="I60" s="4">
        <v>923.91</v>
      </c>
      <c r="J60" s="5">
        <v>99.945229999999995</v>
      </c>
      <c r="K60" s="6">
        <v>25</v>
      </c>
      <c r="L60">
        <f>SUM(I32:I60)</f>
        <v>26926.739999999994</v>
      </c>
      <c r="M60">
        <f>L60/32.1507</f>
        <v>837.51644598717894</v>
      </c>
    </row>
    <row r="61" spans="1:13" x14ac:dyDescent="0.55000000000000004">
      <c r="A61" t="s">
        <v>11</v>
      </c>
      <c r="B61" s="4" t="s">
        <v>12</v>
      </c>
      <c r="C61" s="4" t="s">
        <v>78</v>
      </c>
      <c r="D61" s="4" t="s">
        <v>79</v>
      </c>
      <c r="E61" s="4" t="s">
        <v>15</v>
      </c>
      <c r="F61" s="4" t="s">
        <v>16</v>
      </c>
      <c r="G61" s="4" t="s">
        <v>80</v>
      </c>
      <c r="H61" s="4" t="s">
        <v>18</v>
      </c>
      <c r="I61" s="4">
        <v>965.71</v>
      </c>
      <c r="J61" s="5">
        <v>99.988659999999996</v>
      </c>
      <c r="K61" s="6">
        <v>28</v>
      </c>
    </row>
    <row r="62" spans="1:13" x14ac:dyDescent="0.55000000000000004">
      <c r="A62" t="s">
        <v>11</v>
      </c>
      <c r="B62" s="4" t="s">
        <v>12</v>
      </c>
      <c r="C62" s="4" t="s">
        <v>78</v>
      </c>
      <c r="D62" s="4" t="s">
        <v>81</v>
      </c>
      <c r="E62" s="4" t="s">
        <v>15</v>
      </c>
      <c r="F62" s="4" t="s">
        <v>16</v>
      </c>
      <c r="G62" s="4" t="s">
        <v>80</v>
      </c>
      <c r="H62" s="4" t="s">
        <v>18</v>
      </c>
      <c r="I62" s="4">
        <v>945.74</v>
      </c>
      <c r="J62" s="5">
        <v>99.988659999999996</v>
      </c>
      <c r="K62" s="6">
        <v>28</v>
      </c>
    </row>
    <row r="63" spans="1:13" x14ac:dyDescent="0.55000000000000004">
      <c r="A63" t="s">
        <v>11</v>
      </c>
      <c r="B63" s="4" t="s">
        <v>12</v>
      </c>
      <c r="C63" s="4" t="s">
        <v>78</v>
      </c>
      <c r="D63" s="4" t="s">
        <v>82</v>
      </c>
      <c r="E63" s="4" t="s">
        <v>15</v>
      </c>
      <c r="F63" s="4" t="s">
        <v>16</v>
      </c>
      <c r="G63" s="4" t="s">
        <v>80</v>
      </c>
      <c r="H63" s="4" t="s">
        <v>18</v>
      </c>
      <c r="I63" s="4">
        <v>957.93</v>
      </c>
      <c r="J63" s="5">
        <v>99.988659999999996</v>
      </c>
      <c r="K63" s="6">
        <v>28</v>
      </c>
    </row>
    <row r="64" spans="1:13" x14ac:dyDescent="0.55000000000000004">
      <c r="A64" t="s">
        <v>11</v>
      </c>
      <c r="B64" s="4" t="s">
        <v>12</v>
      </c>
      <c r="C64" s="4" t="s">
        <v>78</v>
      </c>
      <c r="D64" s="4" t="s">
        <v>83</v>
      </c>
      <c r="E64" s="4" t="s">
        <v>15</v>
      </c>
      <c r="F64" s="4" t="s">
        <v>16</v>
      </c>
      <c r="G64" s="4" t="s">
        <v>80</v>
      </c>
      <c r="H64" s="4" t="s">
        <v>18</v>
      </c>
      <c r="I64" s="4">
        <v>994.94</v>
      </c>
      <c r="J64" s="5">
        <v>99.988659999999996</v>
      </c>
      <c r="K64" s="6">
        <v>28</v>
      </c>
    </row>
    <row r="65" spans="1:13" x14ac:dyDescent="0.55000000000000004">
      <c r="A65" t="s">
        <v>11</v>
      </c>
      <c r="B65" s="4" t="s">
        <v>12</v>
      </c>
      <c r="C65" s="4" t="s">
        <v>78</v>
      </c>
      <c r="D65" s="4" t="s">
        <v>84</v>
      </c>
      <c r="E65" s="4" t="s">
        <v>15</v>
      </c>
      <c r="F65" s="4" t="s">
        <v>16</v>
      </c>
      <c r="G65" s="4" t="s">
        <v>80</v>
      </c>
      <c r="H65" s="4" t="s">
        <v>18</v>
      </c>
      <c r="I65" s="4">
        <v>948.41</v>
      </c>
      <c r="J65" s="5">
        <v>99.989620000000002</v>
      </c>
      <c r="K65" s="7">
        <v>29</v>
      </c>
    </row>
    <row r="66" spans="1:13" x14ac:dyDescent="0.55000000000000004">
      <c r="A66" t="s">
        <v>11</v>
      </c>
      <c r="B66" s="4" t="s">
        <v>12</v>
      </c>
      <c r="C66" s="4" t="s">
        <v>78</v>
      </c>
      <c r="D66" s="4" t="s">
        <v>85</v>
      </c>
      <c r="E66" s="4" t="s">
        <v>15</v>
      </c>
      <c r="F66" s="4" t="s">
        <v>16</v>
      </c>
      <c r="G66" s="4" t="s">
        <v>80</v>
      </c>
      <c r="H66" s="4" t="s">
        <v>18</v>
      </c>
      <c r="I66" s="4">
        <v>989.98</v>
      </c>
      <c r="J66" s="5">
        <v>99.989620000000002</v>
      </c>
      <c r="K66" s="7">
        <v>29</v>
      </c>
    </row>
    <row r="67" spans="1:13" x14ac:dyDescent="0.55000000000000004">
      <c r="A67" t="s">
        <v>11</v>
      </c>
      <c r="B67" s="4" t="s">
        <v>12</v>
      </c>
      <c r="C67" s="4" t="s">
        <v>78</v>
      </c>
      <c r="D67" s="4" t="s">
        <v>86</v>
      </c>
      <c r="E67" s="4" t="s">
        <v>15</v>
      </c>
      <c r="F67" s="4" t="s">
        <v>16</v>
      </c>
      <c r="G67" s="4" t="s">
        <v>80</v>
      </c>
      <c r="H67" s="4" t="s">
        <v>18</v>
      </c>
      <c r="I67" s="4">
        <v>974.23</v>
      </c>
      <c r="J67" s="5">
        <v>99.989620000000002</v>
      </c>
      <c r="K67" s="7">
        <v>29</v>
      </c>
    </row>
    <row r="68" spans="1:13" x14ac:dyDescent="0.55000000000000004">
      <c r="A68" t="s">
        <v>11</v>
      </c>
      <c r="B68" s="4" t="s">
        <v>12</v>
      </c>
      <c r="C68" s="4" t="s">
        <v>78</v>
      </c>
      <c r="D68" s="4" t="s">
        <v>87</v>
      </c>
      <c r="E68" s="4" t="s">
        <v>15</v>
      </c>
      <c r="F68" s="4" t="s">
        <v>16</v>
      </c>
      <c r="G68" s="4" t="s">
        <v>80</v>
      </c>
      <c r="H68" s="4" t="s">
        <v>18</v>
      </c>
      <c r="I68" s="4">
        <v>997.51</v>
      </c>
      <c r="J68" s="5">
        <v>99.989620000000002</v>
      </c>
      <c r="K68" s="7">
        <v>29</v>
      </c>
    </row>
    <row r="69" spans="1:13" x14ac:dyDescent="0.55000000000000004">
      <c r="A69" t="s">
        <v>11</v>
      </c>
      <c r="B69" s="4" t="s">
        <v>12</v>
      </c>
      <c r="C69" s="4" t="s">
        <v>78</v>
      </c>
      <c r="D69" s="4" t="s">
        <v>88</v>
      </c>
      <c r="E69" s="4" t="s">
        <v>15</v>
      </c>
      <c r="F69" s="4" t="s">
        <v>16</v>
      </c>
      <c r="G69" s="4" t="s">
        <v>80</v>
      </c>
      <c r="H69" s="4" t="s">
        <v>18</v>
      </c>
      <c r="I69" s="4">
        <v>889.74</v>
      </c>
      <c r="J69" s="5">
        <v>99.989620000000002</v>
      </c>
      <c r="K69" s="7">
        <v>29</v>
      </c>
      <c r="L69">
        <f>SUM(I61:I69)</f>
        <v>8664.19</v>
      </c>
      <c r="M69">
        <f>L69/32.1507</f>
        <v>269.48682299296752</v>
      </c>
    </row>
    <row r="70" spans="1:13" x14ac:dyDescent="0.55000000000000004">
      <c r="A70" t="s">
        <v>11</v>
      </c>
      <c r="B70" s="4" t="s">
        <v>12</v>
      </c>
      <c r="C70" s="4" t="s">
        <v>89</v>
      </c>
      <c r="D70" s="4" t="s">
        <v>90</v>
      </c>
      <c r="E70" s="4" t="s">
        <v>15</v>
      </c>
      <c r="F70" s="4" t="s">
        <v>16</v>
      </c>
      <c r="G70" s="4" t="s">
        <v>91</v>
      </c>
      <c r="H70" s="4" t="s">
        <v>18</v>
      </c>
      <c r="I70" s="4">
        <v>936.36</v>
      </c>
      <c r="J70" s="5">
        <v>99.989140000000006</v>
      </c>
      <c r="K70" s="7">
        <v>38</v>
      </c>
    </row>
    <row r="71" spans="1:13" x14ac:dyDescent="0.55000000000000004">
      <c r="A71" t="s">
        <v>11</v>
      </c>
      <c r="B71" s="4" t="s">
        <v>12</v>
      </c>
      <c r="C71" s="4" t="s">
        <v>89</v>
      </c>
      <c r="D71" s="4" t="s">
        <v>92</v>
      </c>
      <c r="E71" s="4" t="s">
        <v>15</v>
      </c>
      <c r="F71" s="4" t="s">
        <v>16</v>
      </c>
      <c r="G71" s="4" t="s">
        <v>91</v>
      </c>
      <c r="H71" s="4" t="s">
        <v>18</v>
      </c>
      <c r="I71" s="4">
        <v>933.75</v>
      </c>
      <c r="J71" s="5">
        <v>99.989140000000006</v>
      </c>
      <c r="K71" s="7">
        <v>38</v>
      </c>
    </row>
    <row r="72" spans="1:13" x14ac:dyDescent="0.55000000000000004">
      <c r="A72" t="s">
        <v>11</v>
      </c>
      <c r="B72" s="4" t="s">
        <v>12</v>
      </c>
      <c r="C72" s="4" t="s">
        <v>89</v>
      </c>
      <c r="D72" s="4" t="s">
        <v>93</v>
      </c>
      <c r="E72" s="4" t="s">
        <v>15</v>
      </c>
      <c r="F72" s="4" t="s">
        <v>16</v>
      </c>
      <c r="G72" s="4" t="s">
        <v>91</v>
      </c>
      <c r="H72" s="4" t="s">
        <v>18</v>
      </c>
      <c r="I72" s="4">
        <v>895.91</v>
      </c>
      <c r="J72" s="5">
        <v>99.989140000000006</v>
      </c>
      <c r="K72" s="7">
        <v>38</v>
      </c>
    </row>
    <row r="73" spans="1:13" x14ac:dyDescent="0.55000000000000004">
      <c r="A73" t="s">
        <v>11</v>
      </c>
      <c r="B73" s="4" t="s">
        <v>12</v>
      </c>
      <c r="C73" s="4" t="s">
        <v>89</v>
      </c>
      <c r="D73" s="4" t="s">
        <v>94</v>
      </c>
      <c r="E73" s="4" t="s">
        <v>15</v>
      </c>
      <c r="F73" s="4" t="s">
        <v>16</v>
      </c>
      <c r="G73" s="4" t="s">
        <v>91</v>
      </c>
      <c r="H73" s="4" t="s">
        <v>18</v>
      </c>
      <c r="I73" s="4">
        <v>932.88</v>
      </c>
      <c r="J73" s="5">
        <v>99.989140000000006</v>
      </c>
      <c r="K73" s="7">
        <v>38</v>
      </c>
    </row>
    <row r="74" spans="1:13" x14ac:dyDescent="0.55000000000000004">
      <c r="A74" t="s">
        <v>11</v>
      </c>
      <c r="B74" s="4" t="s">
        <v>12</v>
      </c>
      <c r="C74" s="4" t="s">
        <v>89</v>
      </c>
      <c r="D74" s="4" t="s">
        <v>95</v>
      </c>
      <c r="E74" s="4" t="s">
        <v>15</v>
      </c>
      <c r="F74" s="4" t="s">
        <v>16</v>
      </c>
      <c r="G74" s="4" t="s">
        <v>91</v>
      </c>
      <c r="H74" s="4" t="s">
        <v>18</v>
      </c>
      <c r="I74" s="4">
        <v>937.8</v>
      </c>
      <c r="J74" s="5">
        <v>99.989140000000006</v>
      </c>
      <c r="K74" s="7">
        <v>38</v>
      </c>
    </row>
    <row r="75" spans="1:13" x14ac:dyDescent="0.55000000000000004">
      <c r="A75" t="s">
        <v>11</v>
      </c>
      <c r="B75" s="4" t="s">
        <v>12</v>
      </c>
      <c r="C75" s="4" t="s">
        <v>89</v>
      </c>
      <c r="D75" s="4" t="s">
        <v>96</v>
      </c>
      <c r="E75" s="4" t="s">
        <v>15</v>
      </c>
      <c r="F75" s="4" t="s">
        <v>16</v>
      </c>
      <c r="G75" s="4" t="s">
        <v>91</v>
      </c>
      <c r="H75" s="4" t="s">
        <v>18</v>
      </c>
      <c r="I75" s="4">
        <v>908.55</v>
      </c>
      <c r="J75" s="5">
        <v>99.989140000000006</v>
      </c>
      <c r="K75" s="7">
        <v>38</v>
      </c>
    </row>
    <row r="76" spans="1:13" x14ac:dyDescent="0.55000000000000004">
      <c r="A76" t="s">
        <v>11</v>
      </c>
      <c r="B76" s="4" t="s">
        <v>12</v>
      </c>
      <c r="C76" s="4" t="s">
        <v>89</v>
      </c>
      <c r="D76" s="4" t="s">
        <v>97</v>
      </c>
      <c r="E76" s="4" t="s">
        <v>15</v>
      </c>
      <c r="F76" s="4" t="s">
        <v>16</v>
      </c>
      <c r="G76" s="4" t="s">
        <v>91</v>
      </c>
      <c r="H76" s="4" t="s">
        <v>18</v>
      </c>
      <c r="I76" s="4">
        <v>963.4</v>
      </c>
      <c r="J76" s="5">
        <v>99.989140000000006</v>
      </c>
      <c r="K76" s="7">
        <v>38</v>
      </c>
    </row>
    <row r="77" spans="1:13" x14ac:dyDescent="0.55000000000000004">
      <c r="A77" t="s">
        <v>11</v>
      </c>
      <c r="B77" s="4" t="s">
        <v>12</v>
      </c>
      <c r="C77" s="4" t="s">
        <v>89</v>
      </c>
      <c r="D77" s="4" t="s">
        <v>98</v>
      </c>
      <c r="E77" s="4" t="s">
        <v>15</v>
      </c>
      <c r="F77" s="4" t="s">
        <v>16</v>
      </c>
      <c r="G77" s="4" t="s">
        <v>91</v>
      </c>
      <c r="H77" s="4" t="s">
        <v>18</v>
      </c>
      <c r="I77" s="4">
        <v>947</v>
      </c>
      <c r="J77" s="5">
        <v>99.989140000000006</v>
      </c>
      <c r="K77" s="7">
        <v>38</v>
      </c>
    </row>
    <row r="78" spans="1:13" x14ac:dyDescent="0.55000000000000004">
      <c r="A78" t="s">
        <v>11</v>
      </c>
      <c r="B78" s="4" t="s">
        <v>12</v>
      </c>
      <c r="C78" s="4" t="s">
        <v>89</v>
      </c>
      <c r="D78" s="4" t="s">
        <v>99</v>
      </c>
      <c r="E78" s="4" t="s">
        <v>15</v>
      </c>
      <c r="F78" s="4" t="s">
        <v>16</v>
      </c>
      <c r="G78" s="4" t="s">
        <v>91</v>
      </c>
      <c r="H78" s="4" t="s">
        <v>18</v>
      </c>
      <c r="I78" s="4">
        <v>941.82</v>
      </c>
      <c r="J78" s="5">
        <v>99.976820000000004</v>
      </c>
      <c r="K78" s="6">
        <v>39</v>
      </c>
    </row>
    <row r="79" spans="1:13" x14ac:dyDescent="0.55000000000000004">
      <c r="A79" t="s">
        <v>11</v>
      </c>
      <c r="B79" s="4" t="s">
        <v>12</v>
      </c>
      <c r="C79" s="4" t="s">
        <v>89</v>
      </c>
      <c r="D79" s="4" t="s">
        <v>100</v>
      </c>
      <c r="E79" s="4" t="s">
        <v>15</v>
      </c>
      <c r="F79" s="4" t="s">
        <v>16</v>
      </c>
      <c r="G79" s="4" t="s">
        <v>91</v>
      </c>
      <c r="H79" s="4" t="s">
        <v>18</v>
      </c>
      <c r="I79" s="4">
        <v>973.17</v>
      </c>
      <c r="J79" s="5">
        <v>99.976820000000004</v>
      </c>
      <c r="K79" s="6">
        <v>39</v>
      </c>
    </row>
    <row r="80" spans="1:13" x14ac:dyDescent="0.55000000000000004">
      <c r="A80" t="s">
        <v>11</v>
      </c>
      <c r="B80" s="4" t="s">
        <v>12</v>
      </c>
      <c r="C80" s="4" t="s">
        <v>89</v>
      </c>
      <c r="D80" s="4" t="s">
        <v>101</v>
      </c>
      <c r="E80" s="4" t="s">
        <v>15</v>
      </c>
      <c r="F80" s="4" t="s">
        <v>16</v>
      </c>
      <c r="G80" s="4" t="s">
        <v>91</v>
      </c>
      <c r="H80" s="4" t="s">
        <v>18</v>
      </c>
      <c r="I80" s="4">
        <v>938.64</v>
      </c>
      <c r="J80" s="5">
        <v>99.976820000000004</v>
      </c>
      <c r="K80" s="6">
        <v>39</v>
      </c>
    </row>
    <row r="81" spans="1:13" x14ac:dyDescent="0.55000000000000004">
      <c r="A81" t="s">
        <v>11</v>
      </c>
      <c r="B81" s="4" t="s">
        <v>12</v>
      </c>
      <c r="C81" s="4" t="s">
        <v>89</v>
      </c>
      <c r="D81" s="4" t="s">
        <v>102</v>
      </c>
      <c r="E81" s="4" t="s">
        <v>15</v>
      </c>
      <c r="F81" s="4" t="s">
        <v>16</v>
      </c>
      <c r="G81" s="4" t="s">
        <v>91</v>
      </c>
      <c r="H81" s="4" t="s">
        <v>18</v>
      </c>
      <c r="I81" s="4">
        <v>931.37</v>
      </c>
      <c r="J81" s="5">
        <v>99.976820000000004</v>
      </c>
      <c r="K81" s="6">
        <v>39</v>
      </c>
      <c r="L81">
        <f>SUM(I70:I81)</f>
        <v>11240.65</v>
      </c>
      <c r="M81">
        <f>L81/32.1507</f>
        <v>349.62380290320272</v>
      </c>
    </row>
    <row r="83" spans="1:13" x14ac:dyDescent="0.55000000000000004">
      <c r="I83" s="8">
        <f>SUM(I2:I82)</f>
        <v>74685.500000000015</v>
      </c>
    </row>
    <row r="84" spans="1:13" x14ac:dyDescent="0.55000000000000004">
      <c r="I84" s="9">
        <f>I83/32.1507</f>
        <v>2322.9820812610615</v>
      </c>
    </row>
    <row r="152" spans="14:14" x14ac:dyDescent="0.55000000000000004">
      <c r="N152" s="10"/>
    </row>
    <row r="175" spans="2:10" x14ac:dyDescent="0.55000000000000004">
      <c r="B175" s="11"/>
      <c r="C175" s="11"/>
      <c r="D175" s="11"/>
      <c r="E175" s="11"/>
      <c r="F175" s="11"/>
      <c r="G175" s="11"/>
      <c r="H175" s="11"/>
      <c r="I175" s="11"/>
      <c r="J175" s="11"/>
    </row>
    <row r="176" spans="2:10" x14ac:dyDescent="0.55000000000000004">
      <c r="B176" s="11"/>
      <c r="C176" s="11"/>
      <c r="D176" s="11"/>
      <c r="E176" s="11"/>
      <c r="F176" s="11"/>
      <c r="G176" s="11"/>
      <c r="H176" s="11"/>
      <c r="I176" s="11"/>
      <c r="J176" s="11"/>
    </row>
    <row r="177" spans="2:14" x14ac:dyDescent="0.55000000000000004">
      <c r="B177" s="11"/>
      <c r="C177" s="11"/>
      <c r="D177" s="11"/>
      <c r="E177" s="11"/>
      <c r="F177" s="11"/>
      <c r="G177" s="11"/>
      <c r="H177" s="11"/>
      <c r="I177" s="11"/>
      <c r="J177" s="11"/>
    </row>
    <row r="178" spans="2:14" x14ac:dyDescent="0.55000000000000004">
      <c r="B178" s="11"/>
      <c r="C178" s="11"/>
      <c r="D178" s="11"/>
      <c r="E178" s="11"/>
      <c r="F178" s="11"/>
      <c r="G178" s="11"/>
      <c r="H178" s="11"/>
      <c r="I178" s="11"/>
      <c r="J178" s="11"/>
    </row>
    <row r="179" spans="2:14" x14ac:dyDescent="0.55000000000000004">
      <c r="B179" s="11"/>
      <c r="C179" s="11"/>
      <c r="D179" s="11"/>
      <c r="E179" s="11"/>
      <c r="F179" s="11"/>
      <c r="G179" s="11"/>
      <c r="H179" s="11"/>
      <c r="I179" s="11"/>
      <c r="J179" s="11"/>
    </row>
    <row r="180" spans="2:14" x14ac:dyDescent="0.55000000000000004">
      <c r="B180" s="11"/>
      <c r="C180" s="11"/>
      <c r="D180" s="11"/>
      <c r="E180" s="11"/>
      <c r="F180" s="11"/>
      <c r="G180" s="11"/>
      <c r="H180" s="11"/>
      <c r="I180" s="11"/>
      <c r="J180" s="11"/>
    </row>
    <row r="181" spans="2:14" x14ac:dyDescent="0.55000000000000004">
      <c r="B181" s="11"/>
      <c r="C181" s="11"/>
      <c r="D181" s="11"/>
      <c r="E181" s="11"/>
      <c r="F181" s="11"/>
      <c r="G181" s="11"/>
      <c r="H181" s="11"/>
      <c r="I181" s="11"/>
      <c r="J181" s="11"/>
    </row>
    <row r="182" spans="2:14" x14ac:dyDescent="0.55000000000000004">
      <c r="B182" s="11"/>
      <c r="C182" s="11"/>
      <c r="D182" s="11"/>
      <c r="E182" s="11"/>
      <c r="F182" s="11"/>
      <c r="G182" s="11"/>
      <c r="H182" s="11"/>
      <c r="I182" s="11"/>
      <c r="J182" s="11"/>
    </row>
    <row r="183" spans="2:14" x14ac:dyDescent="0.55000000000000004">
      <c r="B183" s="11"/>
      <c r="C183" s="11"/>
      <c r="D183" s="11"/>
      <c r="E183" s="11"/>
      <c r="F183" s="11"/>
      <c r="G183" s="11"/>
      <c r="H183" s="11"/>
      <c r="I183" s="11"/>
      <c r="J183" s="11"/>
    </row>
    <row r="184" spans="2:14" x14ac:dyDescent="0.55000000000000004">
      <c r="B184" s="11"/>
      <c r="C184" s="11"/>
      <c r="D184" s="11"/>
      <c r="E184" s="11"/>
      <c r="F184" s="11"/>
      <c r="G184" s="11"/>
      <c r="H184" s="11"/>
      <c r="I184" s="11"/>
      <c r="J184" s="11"/>
    </row>
    <row r="185" spans="2:14" x14ac:dyDescent="0.55000000000000004">
      <c r="B185" s="11"/>
      <c r="C185" s="11"/>
      <c r="D185" s="11"/>
      <c r="E185" s="11"/>
      <c r="F185" s="11"/>
      <c r="G185" s="11"/>
      <c r="H185" s="11"/>
      <c r="I185" s="11"/>
      <c r="J185" s="11"/>
    </row>
    <row r="186" spans="2:14" x14ac:dyDescent="0.55000000000000004">
      <c r="B186" s="11"/>
      <c r="C186" s="11"/>
      <c r="D186" s="11"/>
      <c r="E186" s="11"/>
      <c r="F186" s="11"/>
      <c r="G186" s="11"/>
      <c r="H186" s="11"/>
      <c r="I186" s="11"/>
      <c r="J186" s="11"/>
    </row>
    <row r="187" spans="2:14" x14ac:dyDescent="0.55000000000000004">
      <c r="B187" s="11"/>
      <c r="C187" s="11"/>
      <c r="D187" s="11"/>
      <c r="E187" s="11"/>
      <c r="F187" s="11"/>
      <c r="G187" s="11"/>
      <c r="H187" s="11"/>
      <c r="I187" s="11"/>
      <c r="J187" s="11"/>
    </row>
    <row r="188" spans="2:14" x14ac:dyDescent="0.55000000000000004">
      <c r="B188" s="11"/>
      <c r="C188" s="11"/>
      <c r="D188" s="11"/>
      <c r="E188" s="11"/>
      <c r="F188" s="11"/>
      <c r="G188" s="11"/>
      <c r="H188" s="11"/>
      <c r="I188" s="11"/>
      <c r="J188" s="11"/>
      <c r="N188" s="10">
        <f>SUM(I175:I188)</f>
        <v>0</v>
      </c>
    </row>
    <row r="189" spans="2:14" x14ac:dyDescent="0.55000000000000004">
      <c r="I189" s="12">
        <f>SUM(I2:I188)</f>
        <v>151693.98208126109</v>
      </c>
      <c r="N189">
        <f>SUM(N2:N188)</f>
        <v>0</v>
      </c>
    </row>
    <row r="192" spans="2:14" x14ac:dyDescent="0.55000000000000004">
      <c r="I192" s="12">
        <f>I189-N189</f>
        <v>151693.98208126109</v>
      </c>
    </row>
  </sheetData>
  <autoFilter ref="A1:N1" xr:uid="{12DCCD47-6E36-4B9E-AE8F-286781298FFF}">
    <sortState xmlns:xlrd2="http://schemas.microsoft.com/office/spreadsheetml/2017/richdata2" ref="A2:N193">
      <sortCondition ref="C1"/>
    </sortState>
  </autoFilter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2322.9821kg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Qihang Zhu</dc:creator>
  <cp:lastModifiedBy>MEI OU</cp:lastModifiedBy>
  <dcterms:created xsi:type="dcterms:W3CDTF">2026-04-07T02:32:29Z</dcterms:created>
  <dcterms:modified xsi:type="dcterms:W3CDTF">2026-04-07T02:54:31Z</dcterms:modified>
</cp:coreProperties>
</file>