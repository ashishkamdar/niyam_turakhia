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2F6303-F66B-4C6C-8F69-5B3B2540DB80}" xr6:coauthVersionLast="47" xr6:coauthVersionMax="47" xr10:uidLastSave="{00000000-0000-0000-0000-000000000000}"/>
  <bookViews>
    <workbookView xWindow="-110" yWindow="-110" windowWidth="19420" windowHeight="11500" xr2:uid="{3E2C044D-3ADA-439F-8DB1-0FF8CA4B41D0}"/>
  </bookViews>
  <sheets>
    <sheet name="1352.8415kg" sheetId="1" r:id="rId1"/>
  </sheets>
  <definedNames>
    <definedName name="_xlnm._FilterDatabase" localSheetId="0" hidden="1">'1352.8415kg'!$B$7:$H$7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H53" i="1"/>
</calcChain>
</file>

<file path=xl/sharedStrings.xml><?xml version="1.0" encoding="utf-8"?>
<sst xmlns="http://schemas.openxmlformats.org/spreadsheetml/2006/main" count="192" uniqueCount="71">
  <si>
    <t>Commodity : Silver</t>
  </si>
  <si>
    <t>Unit of Weight : Troy Ounces</t>
  </si>
  <si>
    <t>Total Bars : 164</t>
  </si>
  <si>
    <t>Total FTO : 159,493.200</t>
  </si>
  <si>
    <t>Brand</t>
  </si>
  <si>
    <t>Bar No.</t>
  </si>
  <si>
    <t>Assay</t>
  </si>
  <si>
    <t>Year</t>
  </si>
  <si>
    <t>Shape</t>
  </si>
  <si>
    <t>Gross Ounces</t>
  </si>
  <si>
    <t>Fine Ounces</t>
  </si>
  <si>
    <t>Pallet</t>
  </si>
  <si>
    <t>Kazakhmys Smelting LLC</t>
  </si>
  <si>
    <t>2011159407</t>
  </si>
  <si>
    <t>1000 oz</t>
  </si>
  <si>
    <t>BW12443A</t>
  </si>
  <si>
    <t>2011159303</t>
  </si>
  <si>
    <t>2011159304</t>
  </si>
  <si>
    <t>2011159704</t>
  </si>
  <si>
    <t>2011159408</t>
  </si>
  <si>
    <t>2011159706</t>
  </si>
  <si>
    <t>BW12443B</t>
  </si>
  <si>
    <t>2011159307</t>
  </si>
  <si>
    <t>2011159902</t>
  </si>
  <si>
    <t>2011159903</t>
  </si>
  <si>
    <t>2011158602</t>
  </si>
  <si>
    <t>2011159705</t>
  </si>
  <si>
    <t>BW12443C</t>
  </si>
  <si>
    <t>2011159308</t>
  </si>
  <si>
    <t>2011159904</t>
  </si>
  <si>
    <t>2011158608</t>
  </si>
  <si>
    <t>2011159701</t>
  </si>
  <si>
    <t>2011159702</t>
  </si>
  <si>
    <t>BW12443D</t>
  </si>
  <si>
    <t>2011159703</t>
  </si>
  <si>
    <t>2011159905</t>
  </si>
  <si>
    <t>2011159906</t>
  </si>
  <si>
    <t>2011159907</t>
  </si>
  <si>
    <t>2011158601</t>
  </si>
  <si>
    <t>BW12443E</t>
  </si>
  <si>
    <t>2011158603</t>
  </si>
  <si>
    <t>2011158605</t>
  </si>
  <si>
    <t>2011158606</t>
  </si>
  <si>
    <t>2011158607</t>
  </si>
  <si>
    <t>2011158604</t>
  </si>
  <si>
    <t>BW12443F</t>
  </si>
  <si>
    <t>2011159901</t>
  </si>
  <si>
    <t>2011159908</t>
  </si>
  <si>
    <t>2011159301</t>
  </si>
  <si>
    <t>2011159302</t>
  </si>
  <si>
    <t>2011159305</t>
  </si>
  <si>
    <t>BW12443G</t>
  </si>
  <si>
    <t>2011159306</t>
  </si>
  <si>
    <t>Kazzinc Ltd</t>
  </si>
  <si>
    <t>0689-03</t>
  </si>
  <si>
    <t>BW18824E</t>
  </si>
  <si>
    <t>0689-04</t>
  </si>
  <si>
    <t>0689-05</t>
  </si>
  <si>
    <t>BW18824F</t>
  </si>
  <si>
    <t>0689-06</t>
  </si>
  <si>
    <t>0689-07</t>
  </si>
  <si>
    <t>0689-08</t>
  </si>
  <si>
    <t>0689-09</t>
  </si>
  <si>
    <t>0689-10</t>
  </si>
  <si>
    <t>BW18824G</t>
  </si>
  <si>
    <t>0690-01</t>
  </si>
  <si>
    <t>0690-02</t>
  </si>
  <si>
    <t>0690-03</t>
  </si>
  <si>
    <t>0690-04</t>
  </si>
  <si>
    <t>0690-05</t>
  </si>
  <si>
    <t>BW18824H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</si>
</sst>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0.0000"/>
  </numFmts>
  <fonts count="6">
    <font>
      <sz val="11"/>
      <color theme="1"/>
      <name val="新細明體"/>
      <family val="2"/>
      <scheme val="minor"/>
    </font>
    <font>
      <sz val="10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scheme val="minor"/>
    </font>
    <font>
      <b/>
      <sz val="11"/>
      <color theme="1"/>
      <name val="新細明體"/>
      <family val="1"/>
      <scheme val="minor"/>
    </font>
    <font>
      <sz val="10"/>
      <color theme="1"/>
      <name val="新細明體"/>
      <family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177" fontId="3" fillId="0" borderId="0" xfId="0" applyNumberFormat="1" applyFont="1"/>
    <xf numFmtId="176" fontId="3" fillId="0" borderId="0" xfId="0" applyNumberFormat="1" applyFont="1"/>
    <xf numFmtId="177" fontId="3" fillId="0" borderId="1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F221-EAD1-468C-AB5F-0CE16EC1D8D4}">
  <dimension ref="A1:I54"/>
  <sheetViews>
    <sheetView tabSelected="1" topLeftCell="A34" workbookViewId="0">
      <selection activeCell="I53" sqref="I53"/>
    </sheetView>
  </sheetViews>
  <sheetFormatPr defaultRowHeight="14.5"/>
  <cols>
    <col min="1" max="8" width="20.69921875" style="2" customWidth="1"/>
    <col min="9" max="9" width="9.8984375" style="2" bestFit="1" customWidth="1"/>
    <col min="10" max="10" width="13.09765625" style="2" bestFit="1" customWidth="1"/>
    <col min="11" max="11" width="15.59765625" style="2" bestFit="1" customWidth="1"/>
    <col min="12" max="12" width="19.8984375" style="2" bestFit="1" customWidth="1"/>
    <col min="13" max="16384" width="8.796875" style="2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1" t="s">
        <v>1</v>
      </c>
      <c r="B2" s="1"/>
      <c r="C2" s="1"/>
      <c r="D2" s="1"/>
      <c r="E2" s="1"/>
      <c r="F2" s="1"/>
      <c r="G2" s="1"/>
    </row>
    <row r="3" spans="1:9">
      <c r="A3" s="1" t="s">
        <v>2</v>
      </c>
      <c r="B3" s="1"/>
      <c r="C3" s="1"/>
      <c r="D3" s="1"/>
      <c r="E3" s="1"/>
      <c r="F3" s="1"/>
      <c r="G3" s="1"/>
    </row>
    <row r="4" spans="1:9">
      <c r="A4" s="1" t="s">
        <v>3</v>
      </c>
      <c r="B4" s="1"/>
      <c r="C4" s="1"/>
      <c r="D4" s="1"/>
      <c r="E4" s="1"/>
      <c r="F4" s="1"/>
      <c r="G4" s="1"/>
    </row>
    <row r="7" spans="1:9">
      <c r="A7" s="3" t="s">
        <v>11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</row>
    <row r="8" spans="1:9">
      <c r="A8" s="4" t="s">
        <v>15</v>
      </c>
      <c r="B8" s="4" t="s">
        <v>12</v>
      </c>
      <c r="C8" s="4" t="s">
        <v>13</v>
      </c>
      <c r="D8" s="4">
        <v>9999</v>
      </c>
      <c r="E8" s="4">
        <v>2011</v>
      </c>
      <c r="F8" s="4" t="s">
        <v>14</v>
      </c>
      <c r="G8" s="5">
        <v>957</v>
      </c>
      <c r="H8" s="5">
        <v>957</v>
      </c>
      <c r="I8" s="2">
        <f>+ROUND(G8/32.1507,3)</f>
        <v>29.765999999999998</v>
      </c>
    </row>
    <row r="9" spans="1:9">
      <c r="A9" s="4" t="s">
        <v>15</v>
      </c>
      <c r="B9" s="4" t="s">
        <v>12</v>
      </c>
      <c r="C9" s="4" t="s">
        <v>16</v>
      </c>
      <c r="D9" s="4">
        <v>9999</v>
      </c>
      <c r="E9" s="4">
        <v>2011</v>
      </c>
      <c r="F9" s="4" t="s">
        <v>14</v>
      </c>
      <c r="G9" s="5">
        <v>948.1</v>
      </c>
      <c r="H9" s="5">
        <v>948.1</v>
      </c>
      <c r="I9" s="2">
        <f t="shared" ref="I9:I52" si="0">+ROUND(G9/32.1507,3)</f>
        <v>29.489000000000001</v>
      </c>
    </row>
    <row r="10" spans="1:9">
      <c r="A10" s="4" t="s">
        <v>15</v>
      </c>
      <c r="B10" s="4" t="s">
        <v>12</v>
      </c>
      <c r="C10" s="4" t="s">
        <v>17</v>
      </c>
      <c r="D10" s="4">
        <v>9999</v>
      </c>
      <c r="E10" s="4">
        <v>2011</v>
      </c>
      <c r="F10" s="4" t="s">
        <v>14</v>
      </c>
      <c r="G10" s="5">
        <v>977.8</v>
      </c>
      <c r="H10" s="5">
        <v>977.8</v>
      </c>
      <c r="I10" s="2">
        <f t="shared" si="0"/>
        <v>30.413</v>
      </c>
    </row>
    <row r="11" spans="1:9">
      <c r="A11" s="4" t="s">
        <v>15</v>
      </c>
      <c r="B11" s="4" t="s">
        <v>12</v>
      </c>
      <c r="C11" s="4" t="s">
        <v>18</v>
      </c>
      <c r="D11" s="4">
        <v>9999</v>
      </c>
      <c r="E11" s="4">
        <v>2011</v>
      </c>
      <c r="F11" s="4" t="s">
        <v>14</v>
      </c>
      <c r="G11" s="5">
        <v>978.9</v>
      </c>
      <c r="H11" s="5">
        <v>978.9</v>
      </c>
      <c r="I11" s="2">
        <f t="shared" si="0"/>
        <v>30.446999999999999</v>
      </c>
    </row>
    <row r="12" spans="1:9">
      <c r="A12" s="4" t="s">
        <v>15</v>
      </c>
      <c r="B12" s="4" t="s">
        <v>12</v>
      </c>
      <c r="C12" s="4" t="s">
        <v>19</v>
      </c>
      <c r="D12" s="4">
        <v>9999</v>
      </c>
      <c r="E12" s="4">
        <v>2011</v>
      </c>
      <c r="F12" s="4" t="s">
        <v>14</v>
      </c>
      <c r="G12" s="5">
        <v>975.4</v>
      </c>
      <c r="H12" s="5">
        <v>975.4</v>
      </c>
      <c r="I12" s="2">
        <f t="shared" si="0"/>
        <v>30.338000000000001</v>
      </c>
    </row>
    <row r="13" spans="1:9">
      <c r="A13" s="4" t="s">
        <v>21</v>
      </c>
      <c r="B13" s="4" t="s">
        <v>12</v>
      </c>
      <c r="C13" s="4" t="s">
        <v>20</v>
      </c>
      <c r="D13" s="4">
        <v>9999</v>
      </c>
      <c r="E13" s="4">
        <v>2011</v>
      </c>
      <c r="F13" s="4" t="s">
        <v>14</v>
      </c>
      <c r="G13" s="5">
        <v>949.7</v>
      </c>
      <c r="H13" s="5">
        <v>949.7</v>
      </c>
      <c r="I13" s="2">
        <f t="shared" si="0"/>
        <v>29.539000000000001</v>
      </c>
    </row>
    <row r="14" spans="1:9">
      <c r="A14" s="4" t="s">
        <v>21</v>
      </c>
      <c r="B14" s="4" t="s">
        <v>12</v>
      </c>
      <c r="C14" s="4" t="s">
        <v>22</v>
      </c>
      <c r="D14" s="4">
        <v>9999</v>
      </c>
      <c r="E14" s="4">
        <v>2011</v>
      </c>
      <c r="F14" s="4" t="s">
        <v>14</v>
      </c>
      <c r="G14" s="5">
        <v>968.6</v>
      </c>
      <c r="H14" s="5">
        <v>968.6</v>
      </c>
      <c r="I14" s="2">
        <f t="shared" si="0"/>
        <v>30.126999999999999</v>
      </c>
    </row>
    <row r="15" spans="1:9">
      <c r="A15" s="4" t="s">
        <v>21</v>
      </c>
      <c r="B15" s="4" t="s">
        <v>12</v>
      </c>
      <c r="C15" s="4" t="s">
        <v>23</v>
      </c>
      <c r="D15" s="4">
        <v>9999</v>
      </c>
      <c r="E15" s="4">
        <v>2011</v>
      </c>
      <c r="F15" s="4" t="s">
        <v>14</v>
      </c>
      <c r="G15" s="5">
        <v>970.1</v>
      </c>
      <c r="H15" s="5">
        <v>970.1</v>
      </c>
      <c r="I15" s="2">
        <f t="shared" si="0"/>
        <v>30.173999999999999</v>
      </c>
    </row>
    <row r="16" spans="1:9">
      <c r="A16" s="4" t="s">
        <v>21</v>
      </c>
      <c r="B16" s="4" t="s">
        <v>12</v>
      </c>
      <c r="C16" s="4" t="s">
        <v>24</v>
      </c>
      <c r="D16" s="4">
        <v>9999</v>
      </c>
      <c r="E16" s="4">
        <v>2011</v>
      </c>
      <c r="F16" s="4" t="s">
        <v>14</v>
      </c>
      <c r="G16" s="5">
        <v>973.3</v>
      </c>
      <c r="H16" s="5">
        <v>973.3</v>
      </c>
      <c r="I16" s="2">
        <f t="shared" si="0"/>
        <v>30.273</v>
      </c>
    </row>
    <row r="17" spans="1:9">
      <c r="A17" s="4" t="s">
        <v>21</v>
      </c>
      <c r="B17" s="4" t="s">
        <v>12</v>
      </c>
      <c r="C17" s="4" t="s">
        <v>25</v>
      </c>
      <c r="D17" s="4">
        <v>9999</v>
      </c>
      <c r="E17" s="4">
        <v>2011</v>
      </c>
      <c r="F17" s="4" t="s">
        <v>14</v>
      </c>
      <c r="G17" s="5">
        <v>986.3</v>
      </c>
      <c r="H17" s="5">
        <v>986.3</v>
      </c>
      <c r="I17" s="2">
        <f t="shared" si="0"/>
        <v>30.677</v>
      </c>
    </row>
    <row r="18" spans="1:9">
      <c r="A18" s="4" t="s">
        <v>27</v>
      </c>
      <c r="B18" s="4" t="s">
        <v>12</v>
      </c>
      <c r="C18" s="4" t="s">
        <v>26</v>
      </c>
      <c r="D18" s="4">
        <v>9999</v>
      </c>
      <c r="E18" s="4">
        <v>2011</v>
      </c>
      <c r="F18" s="4" t="s">
        <v>14</v>
      </c>
      <c r="G18" s="5">
        <v>935.2</v>
      </c>
      <c r="H18" s="5">
        <v>935.2</v>
      </c>
      <c r="I18" s="2">
        <f t="shared" si="0"/>
        <v>29.088000000000001</v>
      </c>
    </row>
    <row r="19" spans="1:9">
      <c r="A19" s="4" t="s">
        <v>27</v>
      </c>
      <c r="B19" s="4" t="s">
        <v>12</v>
      </c>
      <c r="C19" s="4" t="s">
        <v>28</v>
      </c>
      <c r="D19" s="4">
        <v>9999</v>
      </c>
      <c r="E19" s="4">
        <v>2011</v>
      </c>
      <c r="F19" s="4" t="s">
        <v>14</v>
      </c>
      <c r="G19" s="5">
        <v>972.9</v>
      </c>
      <c r="H19" s="5">
        <v>972.9</v>
      </c>
      <c r="I19" s="2">
        <f t="shared" si="0"/>
        <v>30.260999999999999</v>
      </c>
    </row>
    <row r="20" spans="1:9">
      <c r="A20" s="4" t="s">
        <v>27</v>
      </c>
      <c r="B20" s="4" t="s">
        <v>12</v>
      </c>
      <c r="C20" s="4" t="s">
        <v>29</v>
      </c>
      <c r="D20" s="4">
        <v>9999</v>
      </c>
      <c r="E20" s="4">
        <v>2011</v>
      </c>
      <c r="F20" s="4" t="s">
        <v>14</v>
      </c>
      <c r="G20" s="5">
        <v>978.5</v>
      </c>
      <c r="H20" s="5">
        <v>978.5</v>
      </c>
      <c r="I20" s="2">
        <f t="shared" si="0"/>
        <v>30.434999999999999</v>
      </c>
    </row>
    <row r="21" spans="1:9">
      <c r="A21" s="4" t="s">
        <v>27</v>
      </c>
      <c r="B21" s="4" t="s">
        <v>12</v>
      </c>
      <c r="C21" s="4" t="s">
        <v>30</v>
      </c>
      <c r="D21" s="4">
        <v>9999</v>
      </c>
      <c r="E21" s="4">
        <v>2011</v>
      </c>
      <c r="F21" s="4" t="s">
        <v>14</v>
      </c>
      <c r="G21" s="5">
        <v>920.7</v>
      </c>
      <c r="H21" s="5">
        <v>920.7</v>
      </c>
      <c r="I21" s="2">
        <f t="shared" si="0"/>
        <v>28.637</v>
      </c>
    </row>
    <row r="22" spans="1:9">
      <c r="A22" s="4" t="s">
        <v>27</v>
      </c>
      <c r="B22" s="4" t="s">
        <v>12</v>
      </c>
      <c r="C22" s="4" t="s">
        <v>31</v>
      </c>
      <c r="D22" s="4">
        <v>9999</v>
      </c>
      <c r="E22" s="4">
        <v>2011</v>
      </c>
      <c r="F22" s="4" t="s">
        <v>14</v>
      </c>
      <c r="G22" s="5">
        <v>970.2</v>
      </c>
      <c r="H22" s="5">
        <v>970.2</v>
      </c>
      <c r="I22" s="2">
        <f t="shared" si="0"/>
        <v>30.177</v>
      </c>
    </row>
    <row r="23" spans="1:9">
      <c r="A23" s="4" t="s">
        <v>33</v>
      </c>
      <c r="B23" s="4" t="s">
        <v>12</v>
      </c>
      <c r="C23" s="4" t="s">
        <v>32</v>
      </c>
      <c r="D23" s="4">
        <v>9999</v>
      </c>
      <c r="E23" s="4">
        <v>2011</v>
      </c>
      <c r="F23" s="4" t="s">
        <v>14</v>
      </c>
      <c r="G23" s="5">
        <v>969.9</v>
      </c>
      <c r="H23" s="5">
        <v>969.9</v>
      </c>
      <c r="I23" s="2">
        <f t="shared" si="0"/>
        <v>30.167000000000002</v>
      </c>
    </row>
    <row r="24" spans="1:9">
      <c r="A24" s="4" t="s">
        <v>33</v>
      </c>
      <c r="B24" s="4" t="s">
        <v>12</v>
      </c>
      <c r="C24" s="4" t="s">
        <v>34</v>
      </c>
      <c r="D24" s="4">
        <v>9999</v>
      </c>
      <c r="E24" s="4">
        <v>2011</v>
      </c>
      <c r="F24" s="4" t="s">
        <v>14</v>
      </c>
      <c r="G24" s="5">
        <v>939.7</v>
      </c>
      <c r="H24" s="5">
        <v>939.7</v>
      </c>
      <c r="I24" s="2">
        <f t="shared" si="0"/>
        <v>29.228000000000002</v>
      </c>
    </row>
    <row r="25" spans="1:9">
      <c r="A25" s="4" t="s">
        <v>33</v>
      </c>
      <c r="B25" s="4" t="s">
        <v>12</v>
      </c>
      <c r="C25" s="4" t="s">
        <v>35</v>
      </c>
      <c r="D25" s="4">
        <v>9999</v>
      </c>
      <c r="E25" s="4">
        <v>2011</v>
      </c>
      <c r="F25" s="4" t="s">
        <v>14</v>
      </c>
      <c r="G25" s="5">
        <v>963.4</v>
      </c>
      <c r="H25" s="5">
        <v>963.4</v>
      </c>
      <c r="I25" s="2">
        <f t="shared" si="0"/>
        <v>29.965</v>
      </c>
    </row>
    <row r="26" spans="1:9">
      <c r="A26" s="4" t="s">
        <v>33</v>
      </c>
      <c r="B26" s="4" t="s">
        <v>12</v>
      </c>
      <c r="C26" s="4" t="s">
        <v>36</v>
      </c>
      <c r="D26" s="4">
        <v>9999</v>
      </c>
      <c r="E26" s="4">
        <v>2011</v>
      </c>
      <c r="F26" s="4" t="s">
        <v>14</v>
      </c>
      <c r="G26" s="5">
        <v>960.2</v>
      </c>
      <c r="H26" s="5">
        <v>960.2</v>
      </c>
      <c r="I26" s="2">
        <f t="shared" si="0"/>
        <v>29.866</v>
      </c>
    </row>
    <row r="27" spans="1:9">
      <c r="A27" s="4" t="s">
        <v>33</v>
      </c>
      <c r="B27" s="4" t="s">
        <v>12</v>
      </c>
      <c r="C27" s="4" t="s">
        <v>37</v>
      </c>
      <c r="D27" s="4">
        <v>9999</v>
      </c>
      <c r="E27" s="4">
        <v>2011</v>
      </c>
      <c r="F27" s="4" t="s">
        <v>14</v>
      </c>
      <c r="G27" s="5">
        <v>944.6</v>
      </c>
      <c r="H27" s="5">
        <v>944.6</v>
      </c>
      <c r="I27" s="2">
        <f t="shared" si="0"/>
        <v>29.38</v>
      </c>
    </row>
    <row r="28" spans="1:9">
      <c r="A28" s="4" t="s">
        <v>39</v>
      </c>
      <c r="B28" s="4" t="s">
        <v>12</v>
      </c>
      <c r="C28" s="4" t="s">
        <v>38</v>
      </c>
      <c r="D28" s="4">
        <v>9999</v>
      </c>
      <c r="E28" s="4">
        <v>2011</v>
      </c>
      <c r="F28" s="4" t="s">
        <v>14</v>
      </c>
      <c r="G28" s="5">
        <v>1000.5</v>
      </c>
      <c r="H28" s="5">
        <v>1000.5</v>
      </c>
      <c r="I28" s="2">
        <f t="shared" si="0"/>
        <v>31.119</v>
      </c>
    </row>
    <row r="29" spans="1:9">
      <c r="A29" s="4" t="s">
        <v>39</v>
      </c>
      <c r="B29" s="4" t="s">
        <v>12</v>
      </c>
      <c r="C29" s="4" t="s">
        <v>40</v>
      </c>
      <c r="D29" s="4">
        <v>9999</v>
      </c>
      <c r="E29" s="4">
        <v>2011</v>
      </c>
      <c r="F29" s="4" t="s">
        <v>14</v>
      </c>
      <c r="G29" s="5">
        <v>971.8</v>
      </c>
      <c r="H29" s="5">
        <v>971.8</v>
      </c>
      <c r="I29" s="2">
        <f t="shared" si="0"/>
        <v>30.225999999999999</v>
      </c>
    </row>
    <row r="30" spans="1:9">
      <c r="A30" s="4" t="s">
        <v>39</v>
      </c>
      <c r="B30" s="4" t="s">
        <v>12</v>
      </c>
      <c r="C30" s="4" t="s">
        <v>41</v>
      </c>
      <c r="D30" s="4">
        <v>9999</v>
      </c>
      <c r="E30" s="4">
        <v>2011</v>
      </c>
      <c r="F30" s="4" t="s">
        <v>14</v>
      </c>
      <c r="G30" s="5">
        <v>1025.2</v>
      </c>
      <c r="H30" s="5">
        <v>1025.2</v>
      </c>
      <c r="I30" s="2">
        <f t="shared" si="0"/>
        <v>31.887</v>
      </c>
    </row>
    <row r="31" spans="1:9">
      <c r="A31" s="4" t="s">
        <v>39</v>
      </c>
      <c r="B31" s="4" t="s">
        <v>12</v>
      </c>
      <c r="C31" s="4" t="s">
        <v>42</v>
      </c>
      <c r="D31" s="4">
        <v>9999</v>
      </c>
      <c r="E31" s="4">
        <v>2011</v>
      </c>
      <c r="F31" s="4" t="s">
        <v>14</v>
      </c>
      <c r="G31" s="5">
        <v>949.6</v>
      </c>
      <c r="H31" s="5">
        <v>949.6</v>
      </c>
      <c r="I31" s="2">
        <f t="shared" si="0"/>
        <v>29.536000000000001</v>
      </c>
    </row>
    <row r="32" spans="1:9">
      <c r="A32" s="4" t="s">
        <v>39</v>
      </c>
      <c r="B32" s="4" t="s">
        <v>12</v>
      </c>
      <c r="C32" s="4" t="s">
        <v>43</v>
      </c>
      <c r="D32" s="4">
        <v>9999</v>
      </c>
      <c r="E32" s="4">
        <v>2011</v>
      </c>
      <c r="F32" s="4" t="s">
        <v>14</v>
      </c>
      <c r="G32" s="5">
        <v>927.4</v>
      </c>
      <c r="H32" s="5">
        <v>927.4</v>
      </c>
      <c r="I32" s="2">
        <f t="shared" si="0"/>
        <v>28.844999999999999</v>
      </c>
    </row>
    <row r="33" spans="1:9">
      <c r="A33" s="4" t="s">
        <v>45</v>
      </c>
      <c r="B33" s="4" t="s">
        <v>12</v>
      </c>
      <c r="C33" s="4" t="s">
        <v>44</v>
      </c>
      <c r="D33" s="4">
        <v>9999</v>
      </c>
      <c r="E33" s="4">
        <v>2011</v>
      </c>
      <c r="F33" s="4" t="s">
        <v>14</v>
      </c>
      <c r="G33" s="5">
        <v>991.4</v>
      </c>
      <c r="H33" s="5">
        <v>991.4</v>
      </c>
      <c r="I33" s="2">
        <f t="shared" si="0"/>
        <v>30.835999999999999</v>
      </c>
    </row>
    <row r="34" spans="1:9">
      <c r="A34" s="4" t="s">
        <v>45</v>
      </c>
      <c r="B34" s="4" t="s">
        <v>12</v>
      </c>
      <c r="C34" s="4" t="s">
        <v>46</v>
      </c>
      <c r="D34" s="4">
        <v>9999</v>
      </c>
      <c r="E34" s="4">
        <v>2011</v>
      </c>
      <c r="F34" s="4" t="s">
        <v>14</v>
      </c>
      <c r="G34" s="5">
        <v>964.3</v>
      </c>
      <c r="H34" s="5">
        <v>964.3</v>
      </c>
      <c r="I34" s="2">
        <f t="shared" si="0"/>
        <v>29.992999999999999</v>
      </c>
    </row>
    <row r="35" spans="1:9">
      <c r="A35" s="4" t="s">
        <v>45</v>
      </c>
      <c r="B35" s="4" t="s">
        <v>12</v>
      </c>
      <c r="C35" s="4" t="s">
        <v>47</v>
      </c>
      <c r="D35" s="4">
        <v>9999</v>
      </c>
      <c r="E35" s="4">
        <v>2011</v>
      </c>
      <c r="F35" s="4" t="s">
        <v>14</v>
      </c>
      <c r="G35" s="5">
        <v>978.8</v>
      </c>
      <c r="H35" s="5">
        <v>978.8</v>
      </c>
      <c r="I35" s="2">
        <f t="shared" si="0"/>
        <v>30.443999999999999</v>
      </c>
    </row>
    <row r="36" spans="1:9">
      <c r="A36" s="4" t="s">
        <v>45</v>
      </c>
      <c r="B36" s="4" t="s">
        <v>12</v>
      </c>
      <c r="C36" s="4" t="s">
        <v>48</v>
      </c>
      <c r="D36" s="4">
        <v>9999</v>
      </c>
      <c r="E36" s="4">
        <v>2011</v>
      </c>
      <c r="F36" s="4" t="s">
        <v>14</v>
      </c>
      <c r="G36" s="5">
        <v>957.5</v>
      </c>
      <c r="H36" s="5">
        <v>957.5</v>
      </c>
      <c r="I36" s="2">
        <f t="shared" si="0"/>
        <v>29.782</v>
      </c>
    </row>
    <row r="37" spans="1:9">
      <c r="A37" s="4" t="s">
        <v>45</v>
      </c>
      <c r="B37" s="4" t="s">
        <v>12</v>
      </c>
      <c r="C37" s="4" t="s">
        <v>49</v>
      </c>
      <c r="D37" s="4">
        <v>9999</v>
      </c>
      <c r="E37" s="4">
        <v>2011</v>
      </c>
      <c r="F37" s="4" t="s">
        <v>14</v>
      </c>
      <c r="G37" s="5">
        <v>967.3</v>
      </c>
      <c r="H37" s="5">
        <v>967.3</v>
      </c>
      <c r="I37" s="2">
        <f t="shared" si="0"/>
        <v>30.085999999999999</v>
      </c>
    </row>
    <row r="38" spans="1:9">
      <c r="A38" s="4" t="s">
        <v>51</v>
      </c>
      <c r="B38" s="4" t="s">
        <v>12</v>
      </c>
      <c r="C38" s="4" t="s">
        <v>50</v>
      </c>
      <c r="D38" s="4">
        <v>9999</v>
      </c>
      <c r="E38" s="4">
        <v>2011</v>
      </c>
      <c r="F38" s="4" t="s">
        <v>14</v>
      </c>
      <c r="G38" s="5">
        <v>977.6</v>
      </c>
      <c r="H38" s="5">
        <v>977.6</v>
      </c>
      <c r="I38" s="2">
        <f t="shared" si="0"/>
        <v>30.407</v>
      </c>
    </row>
    <row r="39" spans="1:9">
      <c r="A39" s="4" t="s">
        <v>51</v>
      </c>
      <c r="B39" s="4" t="s">
        <v>12</v>
      </c>
      <c r="C39" s="4" t="s">
        <v>52</v>
      </c>
      <c r="D39" s="4">
        <v>9999</v>
      </c>
      <c r="E39" s="4">
        <v>2011</v>
      </c>
      <c r="F39" s="4" t="s">
        <v>14</v>
      </c>
      <c r="G39" s="5">
        <v>952.3</v>
      </c>
      <c r="H39" s="5">
        <v>952.3</v>
      </c>
      <c r="I39" s="2">
        <f t="shared" si="0"/>
        <v>29.62</v>
      </c>
    </row>
    <row r="40" spans="1:9">
      <c r="A40" s="4" t="s">
        <v>55</v>
      </c>
      <c r="B40" s="4" t="s">
        <v>53</v>
      </c>
      <c r="C40" s="4" t="s">
        <v>54</v>
      </c>
      <c r="D40" s="4">
        <v>9999</v>
      </c>
      <c r="E40" s="4">
        <v>2014</v>
      </c>
      <c r="F40" s="4" t="s">
        <v>14</v>
      </c>
      <c r="G40" s="5">
        <v>947.5</v>
      </c>
      <c r="H40" s="5">
        <v>947.5</v>
      </c>
      <c r="I40" s="2">
        <f t="shared" si="0"/>
        <v>29.471</v>
      </c>
    </row>
    <row r="41" spans="1:9">
      <c r="A41" s="4" t="s">
        <v>55</v>
      </c>
      <c r="B41" s="4" t="s">
        <v>53</v>
      </c>
      <c r="C41" s="4" t="s">
        <v>56</v>
      </c>
      <c r="D41" s="4">
        <v>9999</v>
      </c>
      <c r="E41" s="4">
        <v>2014</v>
      </c>
      <c r="F41" s="4" t="s">
        <v>14</v>
      </c>
      <c r="G41" s="5">
        <v>996</v>
      </c>
      <c r="H41" s="5">
        <v>996</v>
      </c>
      <c r="I41" s="2">
        <f t="shared" si="0"/>
        <v>30.978999999999999</v>
      </c>
    </row>
    <row r="42" spans="1:9">
      <c r="A42" s="4" t="s">
        <v>58</v>
      </c>
      <c r="B42" s="4" t="s">
        <v>53</v>
      </c>
      <c r="C42" s="4" t="s">
        <v>57</v>
      </c>
      <c r="D42" s="4">
        <v>9999</v>
      </c>
      <c r="E42" s="4">
        <v>2014</v>
      </c>
      <c r="F42" s="4" t="s">
        <v>14</v>
      </c>
      <c r="G42" s="5">
        <v>977.3</v>
      </c>
      <c r="H42" s="5">
        <v>977.3</v>
      </c>
      <c r="I42" s="2">
        <f t="shared" si="0"/>
        <v>30.396999999999998</v>
      </c>
    </row>
    <row r="43" spans="1:9">
      <c r="A43" s="4" t="s">
        <v>58</v>
      </c>
      <c r="B43" s="4" t="s">
        <v>53</v>
      </c>
      <c r="C43" s="4" t="s">
        <v>59</v>
      </c>
      <c r="D43" s="4">
        <v>9999</v>
      </c>
      <c r="E43" s="4">
        <v>2014</v>
      </c>
      <c r="F43" s="4" t="s">
        <v>14</v>
      </c>
      <c r="G43" s="5">
        <v>962.9</v>
      </c>
      <c r="H43" s="5">
        <v>962.9</v>
      </c>
      <c r="I43" s="2">
        <f t="shared" si="0"/>
        <v>29.95</v>
      </c>
    </row>
    <row r="44" spans="1:9">
      <c r="A44" s="4" t="s">
        <v>58</v>
      </c>
      <c r="B44" s="4" t="s">
        <v>53</v>
      </c>
      <c r="C44" s="4" t="s">
        <v>60</v>
      </c>
      <c r="D44" s="4">
        <v>9999</v>
      </c>
      <c r="E44" s="4">
        <v>2014</v>
      </c>
      <c r="F44" s="4" t="s">
        <v>14</v>
      </c>
      <c r="G44" s="5">
        <v>962.2</v>
      </c>
      <c r="H44" s="5">
        <v>962.2</v>
      </c>
      <c r="I44" s="2">
        <f t="shared" si="0"/>
        <v>29.928000000000001</v>
      </c>
    </row>
    <row r="45" spans="1:9">
      <c r="A45" s="4" t="s">
        <v>58</v>
      </c>
      <c r="B45" s="4" t="s">
        <v>53</v>
      </c>
      <c r="C45" s="4" t="s">
        <v>61</v>
      </c>
      <c r="D45" s="4">
        <v>9999</v>
      </c>
      <c r="E45" s="4">
        <v>2014</v>
      </c>
      <c r="F45" s="4" t="s">
        <v>14</v>
      </c>
      <c r="G45" s="5">
        <v>990.1</v>
      </c>
      <c r="H45" s="5">
        <v>990.1</v>
      </c>
      <c r="I45" s="2">
        <f t="shared" si="0"/>
        <v>30.795999999999999</v>
      </c>
    </row>
    <row r="46" spans="1:9">
      <c r="A46" s="4" t="s">
        <v>58</v>
      </c>
      <c r="B46" s="4" t="s">
        <v>53</v>
      </c>
      <c r="C46" s="4" t="s">
        <v>62</v>
      </c>
      <c r="D46" s="4">
        <v>9999</v>
      </c>
      <c r="E46" s="4">
        <v>2014</v>
      </c>
      <c r="F46" s="4" t="s">
        <v>14</v>
      </c>
      <c r="G46" s="5">
        <v>983.9</v>
      </c>
      <c r="H46" s="5">
        <v>983.9</v>
      </c>
      <c r="I46" s="2">
        <f t="shared" si="0"/>
        <v>30.603000000000002</v>
      </c>
    </row>
    <row r="47" spans="1:9">
      <c r="A47" s="4" t="s">
        <v>64</v>
      </c>
      <c r="B47" s="4" t="s">
        <v>53</v>
      </c>
      <c r="C47" s="4" t="s">
        <v>63</v>
      </c>
      <c r="D47" s="4">
        <v>9999</v>
      </c>
      <c r="E47" s="4">
        <v>2014</v>
      </c>
      <c r="F47" s="4" t="s">
        <v>14</v>
      </c>
      <c r="G47" s="5">
        <v>947.5</v>
      </c>
      <c r="H47" s="5">
        <v>947.5</v>
      </c>
      <c r="I47" s="2">
        <f t="shared" si="0"/>
        <v>29.471</v>
      </c>
    </row>
    <row r="48" spans="1:9">
      <c r="A48" s="4" t="s">
        <v>64</v>
      </c>
      <c r="B48" s="4" t="s">
        <v>53</v>
      </c>
      <c r="C48" s="4" t="s">
        <v>65</v>
      </c>
      <c r="D48" s="4">
        <v>9999</v>
      </c>
      <c r="E48" s="4">
        <v>2014</v>
      </c>
      <c r="F48" s="4" t="s">
        <v>14</v>
      </c>
      <c r="G48" s="5">
        <v>977.5</v>
      </c>
      <c r="H48" s="5">
        <v>977.5</v>
      </c>
      <c r="I48" s="2">
        <f t="shared" si="0"/>
        <v>30.404</v>
      </c>
    </row>
    <row r="49" spans="1:9">
      <c r="A49" s="4" t="s">
        <v>64</v>
      </c>
      <c r="B49" s="4" t="s">
        <v>53</v>
      </c>
      <c r="C49" s="4" t="s">
        <v>66</v>
      </c>
      <c r="D49" s="4">
        <v>9999</v>
      </c>
      <c r="E49" s="4">
        <v>2014</v>
      </c>
      <c r="F49" s="4" t="s">
        <v>14</v>
      </c>
      <c r="G49" s="5">
        <v>960</v>
      </c>
      <c r="H49" s="5">
        <v>960</v>
      </c>
      <c r="I49" s="2">
        <f t="shared" si="0"/>
        <v>29.859000000000002</v>
      </c>
    </row>
    <row r="50" spans="1:9">
      <c r="A50" s="4" t="s">
        <v>64</v>
      </c>
      <c r="B50" s="4" t="s">
        <v>53</v>
      </c>
      <c r="C50" s="4" t="s">
        <v>67</v>
      </c>
      <c r="D50" s="4">
        <v>9999</v>
      </c>
      <c r="E50" s="4">
        <v>2014</v>
      </c>
      <c r="F50" s="4" t="s">
        <v>14</v>
      </c>
      <c r="G50" s="5">
        <v>954</v>
      </c>
      <c r="H50" s="5">
        <v>954</v>
      </c>
      <c r="I50" s="2">
        <f t="shared" si="0"/>
        <v>29.672999999999998</v>
      </c>
    </row>
    <row r="51" spans="1:9">
      <c r="A51" s="4" t="s">
        <v>64</v>
      </c>
      <c r="B51" s="4" t="s">
        <v>53</v>
      </c>
      <c r="C51" s="4" t="s">
        <v>68</v>
      </c>
      <c r="D51" s="4">
        <v>9999</v>
      </c>
      <c r="E51" s="4">
        <v>2014</v>
      </c>
      <c r="F51" s="4" t="s">
        <v>14</v>
      </c>
      <c r="G51" s="5">
        <v>967.7</v>
      </c>
      <c r="H51" s="5">
        <v>967.7</v>
      </c>
      <c r="I51" s="2">
        <f t="shared" si="0"/>
        <v>30.099</v>
      </c>
    </row>
    <row r="52" spans="1:9">
      <c r="A52" s="4" t="s">
        <v>70</v>
      </c>
      <c r="B52" s="4" t="s">
        <v>53</v>
      </c>
      <c r="C52" s="4" t="s">
        <v>69</v>
      </c>
      <c r="D52" s="4">
        <v>9999</v>
      </c>
      <c r="E52" s="4">
        <v>2014</v>
      </c>
      <c r="F52" s="4" t="s">
        <v>14</v>
      </c>
      <c r="G52" s="5">
        <v>964</v>
      </c>
      <c r="H52" s="5">
        <v>964</v>
      </c>
      <c r="I52" s="2">
        <f t="shared" si="0"/>
        <v>29.984000000000002</v>
      </c>
    </row>
    <row r="53" spans="1:9" ht="15" thickBot="1">
      <c r="A53" s="4"/>
      <c r="B53" s="4"/>
      <c r="C53" s="4"/>
      <c r="D53" s="4"/>
      <c r="E53" s="4"/>
      <c r="F53" s="4"/>
      <c r="G53" s="5"/>
      <c r="H53" s="5">
        <f>SUM(H8:H52)</f>
        <v>43494.799999999996</v>
      </c>
      <c r="I53" s="8">
        <f>SUM(I8:I52)</f>
        <v>1352.8420000000003</v>
      </c>
    </row>
    <row r="54" spans="1:9" ht="15" thickTop="1">
      <c r="H54" s="7"/>
      <c r="I54" s="6"/>
    </row>
  </sheetData>
  <autoFilter ref="B7:I7" xr:uid="{00000000-0001-0000-0000-000000000000}"/>
  <mergeCells count="4">
    <mergeCell ref="A3:G3"/>
    <mergeCell ref="A4:G4"/>
    <mergeCell ref="A1:G1"/>
    <mergeCell ref="A2:G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1352.8415kg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 OU</dc:creator>
  <cp:lastModifiedBy>Carol Lau</cp:lastModifiedBy>
  <dcterms:created xsi:type="dcterms:W3CDTF">2026-03-19T06:20:54Z</dcterms:created>
  <dcterms:modified xsi:type="dcterms:W3CDTF">2026-03-20T04:51:17Z</dcterms:modified>
</cp:coreProperties>
</file>