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9C7A2524-C1C3-4231-BB43-F4886B429F49}" xr6:coauthVersionLast="47" xr6:coauthVersionMax="47" xr10:uidLastSave="{00000000-0000-0000-0000-000000000000}"/>
  <bookViews>
    <workbookView xWindow="550" yWindow="240" windowWidth="12560" windowHeight="10330" firstSheet="1" activeTab="1" xr2:uid="{78A9553C-0EC5-4187-8B86-43B15F94A223}"/>
  </bookViews>
  <sheets>
    <sheet name="Silver bar list_" sheetId="17" state="hidden" r:id="rId1"/>
    <sheet name="Silver bar list" sheetId="16" r:id="rId2"/>
  </sheets>
  <externalReferences>
    <externalReference r:id="rId3"/>
    <externalReference r:id="rId4"/>
    <externalReference r:id="rId5"/>
  </externalReferences>
  <definedNames>
    <definedName name="_xlnm._FilterDatabase" localSheetId="1" hidden="1">'Silver bar list'!$A$9:$H$51</definedName>
    <definedName name="_xlnm._FilterDatabase" localSheetId="0" hidden="1">'Silver bar list_'!$20:$190</definedName>
    <definedName name="COIN_CODE">[2]CODE!$C$2:$C$50</definedName>
    <definedName name="ISO_CODE">[3]CODE!$B$2:$B$239</definedName>
    <definedName name="ISO_N_CODE">[2]CODE!$B$2:$B$239</definedName>
    <definedName name="_xlnm.Print_Area" localSheetId="1">'Silver bar list'!$A$1:$D$51</definedName>
    <definedName name="TARGET_T_CODE">[3]CODE!$F$2:$F$10</definedName>
    <definedName name="TEX_N_CODE">[2]CODE!$A$2:$A$239</definedName>
    <definedName name="箱號">'[1]出倉入箱 '!#REF!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6" l="1"/>
  <c r="B2" i="16"/>
  <c r="C2" i="16"/>
  <c r="D2" i="16"/>
  <c r="A3" i="16"/>
  <c r="A9" i="16"/>
  <c r="A4" i="16"/>
  <c r="A32" i="16" s="1"/>
  <c r="B5" i="16"/>
  <c r="B9" i="16"/>
  <c r="A11" i="16"/>
  <c r="B11" i="16"/>
  <c r="C11" i="16"/>
  <c r="D11" i="16"/>
  <c r="A12" i="16"/>
  <c r="B12" i="16"/>
  <c r="C12" i="16"/>
  <c r="D12" i="16"/>
  <c r="A13" i="16"/>
  <c r="B13" i="16"/>
  <c r="C13" i="16"/>
  <c r="D13" i="16"/>
  <c r="A14" i="16"/>
  <c r="B14" i="16"/>
  <c r="C14" i="16"/>
  <c r="D14" i="16"/>
  <c r="A15" i="16"/>
  <c r="B15" i="16"/>
  <c r="C15" i="16"/>
  <c r="D15" i="16"/>
  <c r="A16" i="16"/>
  <c r="B16" i="16"/>
  <c r="C16" i="16"/>
  <c r="D16" i="16"/>
  <c r="A17" i="16"/>
  <c r="B17" i="16"/>
  <c r="C17" i="16"/>
  <c r="D17" i="16"/>
  <c r="A18" i="16"/>
  <c r="B18" i="16"/>
  <c r="C18" i="16"/>
  <c r="D18" i="16"/>
  <c r="A19" i="16"/>
  <c r="B19" i="16"/>
  <c r="C19" i="16"/>
  <c r="D19" i="16"/>
  <c r="A20" i="16"/>
  <c r="B20" i="16"/>
  <c r="C20" i="16"/>
  <c r="D20" i="16"/>
  <c r="A21" i="16"/>
  <c r="B21" i="16"/>
  <c r="C21" i="16"/>
  <c r="D21" i="16"/>
  <c r="A22" i="16"/>
  <c r="B22" i="16"/>
  <c r="C22" i="16"/>
  <c r="D22" i="16"/>
  <c r="A23" i="16"/>
  <c r="B23" i="16"/>
  <c r="C23" i="16"/>
  <c r="D23" i="16"/>
  <c r="A24" i="16"/>
  <c r="B24" i="16"/>
  <c r="C24" i="16"/>
  <c r="D24" i="16"/>
  <c r="A25" i="16"/>
  <c r="B25" i="16"/>
  <c r="C25" i="16"/>
  <c r="D25" i="16"/>
  <c r="A26" i="16"/>
  <c r="B26" i="16"/>
  <c r="C26" i="16"/>
  <c r="D26" i="16"/>
  <c r="A27" i="16"/>
  <c r="B27" i="16"/>
  <c r="C27" i="16"/>
  <c r="D27" i="16"/>
  <c r="B32" i="16"/>
  <c r="A34" i="16"/>
  <c r="B34" i="16"/>
  <c r="C34" i="16"/>
  <c r="D34" i="16"/>
  <c r="A35" i="16"/>
  <c r="B35" i="16"/>
  <c r="C35" i="16"/>
  <c r="D35" i="16"/>
  <c r="A36" i="16"/>
  <c r="B36" i="16"/>
  <c r="C36" i="16"/>
  <c r="D36" i="16"/>
  <c r="A37" i="16"/>
  <c r="B37" i="16"/>
  <c r="C37" i="16"/>
  <c r="D37" i="16"/>
  <c r="A38" i="16"/>
  <c r="B38" i="16"/>
  <c r="C38" i="16"/>
  <c r="D38" i="16"/>
  <c r="A39" i="16"/>
  <c r="B39" i="16"/>
  <c r="C39" i="16"/>
  <c r="D39" i="16"/>
  <c r="A40" i="16"/>
  <c r="B40" i="16"/>
  <c r="C40" i="16"/>
  <c r="D40" i="16"/>
  <c r="A41" i="16"/>
  <c r="B41" i="16"/>
  <c r="C41" i="16"/>
  <c r="D41" i="16"/>
  <c r="A42" i="16"/>
  <c r="B42" i="16"/>
  <c r="C42" i="16"/>
  <c r="D42" i="16"/>
  <c r="A43" i="16"/>
  <c r="B43" i="16"/>
  <c r="C43" i="16"/>
  <c r="D43" i="16"/>
  <c r="A44" i="16"/>
  <c r="B44" i="16"/>
  <c r="C44" i="16"/>
  <c r="D44" i="16"/>
  <c r="A45" i="16"/>
  <c r="B45" i="16"/>
  <c r="C45" i="16"/>
  <c r="D45" i="16"/>
  <c r="A46" i="16"/>
  <c r="B46" i="16"/>
  <c r="C46" i="16"/>
  <c r="D46" i="16"/>
  <c r="A47" i="16"/>
  <c r="B47" i="16"/>
  <c r="C47" i="16"/>
  <c r="D47" i="16"/>
  <c r="A48" i="16"/>
  <c r="B48" i="16"/>
  <c r="C48" i="16"/>
  <c r="D48" i="16"/>
  <c r="A49" i="16"/>
  <c r="B49" i="16"/>
  <c r="C49" i="16"/>
  <c r="D49" i="16"/>
  <c r="A50" i="16"/>
  <c r="B50" i="16"/>
  <c r="C50" i="16"/>
  <c r="D50" i="16"/>
  <c r="B11" i="17"/>
  <c r="E21" i="17"/>
  <c r="B22" i="17"/>
  <c r="E22" i="17"/>
  <c r="E23" i="17"/>
  <c r="E24" i="17"/>
  <c r="E25" i="17"/>
  <c r="E26" i="17"/>
  <c r="E27" i="17"/>
  <c r="E28" i="17"/>
  <c r="E29" i="17"/>
  <c r="E30" i="17"/>
  <c r="E31" i="17"/>
  <c r="E32" i="17"/>
  <c r="E33" i="17"/>
  <c r="E34" i="17"/>
  <c r="E35" i="17"/>
  <c r="E36" i="17"/>
  <c r="E37" i="17"/>
  <c r="E38" i="17"/>
  <c r="E39" i="17"/>
  <c r="E40" i="17"/>
  <c r="E41" i="17"/>
  <c r="E42" i="17"/>
  <c r="E43" i="17"/>
  <c r="E44" i="17"/>
  <c r="E45" i="17"/>
  <c r="E46" i="17"/>
  <c r="E47" i="17"/>
  <c r="E48" i="17"/>
  <c r="E49" i="17"/>
  <c r="E50" i="17"/>
  <c r="E51" i="17"/>
  <c r="E52" i="17"/>
  <c r="E53" i="17"/>
  <c r="E54" i="17"/>
  <c r="E55" i="17"/>
  <c r="B56" i="17"/>
  <c r="B57" i="17"/>
  <c r="B58" i="17"/>
  <c r="B59" i="17"/>
  <c r="B60" i="17"/>
  <c r="B61" i="17"/>
  <c r="B62" i="17"/>
  <c r="B63" i="17"/>
  <c r="B64" i="17"/>
  <c r="B65" i="17"/>
  <c r="B66" i="17"/>
  <c r="B67" i="17"/>
  <c r="B68" i="17"/>
  <c r="B69" i="17"/>
  <c r="B70" i="17"/>
  <c r="B71" i="17"/>
  <c r="B72" i="17"/>
  <c r="B73" i="17"/>
  <c r="B74" i="17"/>
  <c r="B75" i="17"/>
  <c r="B76" i="17"/>
  <c r="B77" i="17"/>
  <c r="B78" i="17"/>
  <c r="B79" i="17"/>
  <c r="B80" i="17"/>
  <c r="B81" i="17"/>
  <c r="B82" i="17"/>
  <c r="B83" i="17"/>
  <c r="B84" i="17"/>
  <c r="B85" i="17"/>
  <c r="B86" i="17"/>
  <c r="B87" i="17"/>
  <c r="B88" i="17"/>
  <c r="E56" i="17"/>
  <c r="E57" i="17"/>
  <c r="E58" i="17"/>
  <c r="E59" i="17"/>
  <c r="E60" i="17"/>
  <c r="E61" i="17"/>
  <c r="E62" i="17"/>
  <c r="E63" i="17"/>
  <c r="E64" i="17"/>
  <c r="E65" i="17"/>
  <c r="E66" i="17"/>
  <c r="E67" i="17"/>
  <c r="E68" i="17"/>
  <c r="E69" i="17"/>
  <c r="E70" i="17"/>
  <c r="E71" i="17"/>
  <c r="E72" i="17"/>
  <c r="E73" i="17"/>
  <c r="E74" i="17"/>
  <c r="E75" i="17"/>
  <c r="E76" i="17"/>
  <c r="E77" i="17"/>
  <c r="E78" i="17"/>
  <c r="E79" i="17"/>
  <c r="E80" i="17"/>
  <c r="E81" i="17"/>
  <c r="E82" i="17"/>
  <c r="E83" i="17"/>
  <c r="E84" i="17"/>
  <c r="E85" i="17"/>
  <c r="E86" i="17"/>
  <c r="E87" i="17"/>
  <c r="E88" i="17"/>
  <c r="E89" i="17"/>
  <c r="B90" i="17"/>
  <c r="B91" i="17"/>
  <c r="B92" i="17"/>
  <c r="B93" i="17"/>
  <c r="B94" i="17"/>
  <c r="B95" i="17"/>
  <c r="B96" i="17"/>
  <c r="B97" i="17"/>
  <c r="B98" i="17"/>
  <c r="B99" i="17"/>
  <c r="B100" i="17"/>
  <c r="B101" i="17"/>
  <c r="B102" i="17"/>
  <c r="B103" i="17"/>
  <c r="B104" i="17"/>
  <c r="B105" i="17"/>
  <c r="B106" i="17"/>
  <c r="B107" i="17"/>
  <c r="B108" i="17"/>
  <c r="B109" i="17"/>
  <c r="B110" i="17"/>
  <c r="B111" i="17"/>
  <c r="B112" i="17"/>
  <c r="B113" i="17"/>
  <c r="B114" i="17"/>
  <c r="B115" i="17"/>
  <c r="B116" i="17"/>
  <c r="B117" i="17"/>
  <c r="B118" i="17"/>
  <c r="B119" i="17"/>
  <c r="B120" i="17"/>
  <c r="B121" i="17"/>
  <c r="B122" i="17"/>
  <c r="E90" i="17"/>
  <c r="E91" i="17"/>
  <c r="E92" i="17"/>
  <c r="E93" i="17"/>
  <c r="E94" i="17"/>
  <c r="E95" i="17"/>
  <c r="E96" i="17"/>
  <c r="E97" i="17"/>
  <c r="E98" i="17"/>
  <c r="E99" i="17"/>
  <c r="E100" i="17"/>
  <c r="E101" i="17"/>
  <c r="E102" i="17"/>
  <c r="E103" i="17"/>
  <c r="E104" i="17"/>
  <c r="E105" i="17"/>
  <c r="E106" i="17"/>
  <c r="E107" i="17"/>
  <c r="E108" i="17"/>
  <c r="E109" i="17"/>
  <c r="E110" i="17"/>
  <c r="E111" i="17"/>
  <c r="E112" i="17"/>
  <c r="E113" i="17"/>
  <c r="E114" i="17"/>
  <c r="E115" i="17"/>
  <c r="E116" i="17"/>
  <c r="E117" i="17"/>
  <c r="E118" i="17"/>
  <c r="E119" i="17"/>
  <c r="E120" i="17"/>
  <c r="E121" i="17"/>
  <c r="E122" i="17"/>
  <c r="E123" i="17"/>
  <c r="B124" i="17"/>
  <c r="B125" i="17"/>
  <c r="B126" i="17"/>
  <c r="B127" i="17"/>
  <c r="B128" i="17"/>
  <c r="B129" i="17"/>
  <c r="B130" i="17"/>
  <c r="B131" i="17"/>
  <c r="B132" i="17"/>
  <c r="B133" i="17"/>
  <c r="B134" i="17"/>
  <c r="B135" i="17"/>
  <c r="B136" i="17"/>
  <c r="B137" i="17"/>
  <c r="B138" i="17"/>
  <c r="B139" i="17"/>
  <c r="B140" i="17"/>
  <c r="B141" i="17"/>
  <c r="B142" i="17"/>
  <c r="B143" i="17"/>
  <c r="B144" i="17"/>
  <c r="B145" i="17"/>
  <c r="B146" i="17"/>
  <c r="B147" i="17"/>
  <c r="B148" i="17"/>
  <c r="B149" i="17"/>
  <c r="B150" i="17"/>
  <c r="B151" i="17"/>
  <c r="B152" i="17"/>
  <c r="B153" i="17"/>
  <c r="B154" i="17"/>
  <c r="B155" i="17"/>
  <c r="B156" i="17"/>
  <c r="E124" i="17"/>
  <c r="E125" i="17"/>
  <c r="E126" i="17"/>
  <c r="E127" i="17"/>
  <c r="E128" i="17"/>
  <c r="E129" i="17"/>
  <c r="E130" i="17"/>
  <c r="E131" i="17"/>
  <c r="E132" i="17"/>
  <c r="E133" i="17"/>
  <c r="E134" i="17"/>
  <c r="E135" i="17"/>
  <c r="E136" i="17"/>
  <c r="E137" i="17"/>
  <c r="E138" i="17"/>
  <c r="E139" i="17"/>
  <c r="E140" i="17"/>
  <c r="E141" i="17"/>
  <c r="E142" i="17"/>
  <c r="E143" i="17"/>
  <c r="E144" i="17"/>
  <c r="E145" i="17"/>
  <c r="E146" i="17"/>
  <c r="E147" i="17"/>
  <c r="E148" i="17"/>
  <c r="E149" i="17"/>
  <c r="E150" i="17"/>
  <c r="E151" i="17"/>
  <c r="E152" i="17"/>
  <c r="E153" i="17"/>
  <c r="E154" i="17"/>
  <c r="E155" i="17"/>
  <c r="E156" i="17"/>
  <c r="E157" i="17"/>
  <c r="B158" i="17"/>
  <c r="B159" i="17"/>
  <c r="B160" i="17"/>
  <c r="B161" i="17"/>
  <c r="B162" i="17"/>
  <c r="B163" i="17"/>
  <c r="B164" i="17"/>
  <c r="B165" i="17"/>
  <c r="B166" i="17"/>
  <c r="B167" i="17"/>
  <c r="B168" i="17"/>
  <c r="B169" i="17"/>
  <c r="B170" i="17"/>
  <c r="B171" i="17"/>
  <c r="B172" i="17"/>
  <c r="B173" i="17"/>
  <c r="B174" i="17"/>
  <c r="B175" i="17"/>
  <c r="B176" i="17"/>
  <c r="B177" i="17"/>
  <c r="B178" i="17"/>
  <c r="B179" i="17"/>
  <c r="B180" i="17"/>
  <c r="B181" i="17"/>
  <c r="B182" i="17"/>
  <c r="B183" i="17"/>
  <c r="B184" i="17"/>
  <c r="B185" i="17"/>
  <c r="B186" i="17"/>
  <c r="B187" i="17"/>
  <c r="B188" i="17"/>
  <c r="B189" i="17"/>
  <c r="B190" i="17"/>
  <c r="E158" i="17"/>
  <c r="E159" i="17"/>
  <c r="E160" i="17"/>
  <c r="E161" i="17"/>
  <c r="E162" i="17"/>
  <c r="E163" i="17"/>
  <c r="E164" i="17"/>
  <c r="E165" i="17"/>
  <c r="E166" i="17"/>
  <c r="E167" i="17"/>
  <c r="E168" i="17"/>
  <c r="E169" i="17"/>
  <c r="E170" i="17"/>
  <c r="E171" i="17"/>
  <c r="E172" i="17"/>
  <c r="E173" i="17"/>
  <c r="E174" i="17"/>
  <c r="E175" i="17"/>
  <c r="E176" i="17"/>
  <c r="E177" i="17"/>
  <c r="E178" i="17"/>
  <c r="E179" i="17"/>
  <c r="E180" i="17"/>
  <c r="E181" i="17"/>
  <c r="E182" i="17"/>
  <c r="E183" i="17"/>
  <c r="E184" i="17"/>
  <c r="E185" i="17"/>
  <c r="E186" i="17"/>
  <c r="E187" i="17"/>
  <c r="E188" i="17"/>
  <c r="E189" i="17"/>
  <c r="E190" i="17"/>
  <c r="B23" i="17"/>
  <c r="B24" i="17"/>
  <c r="B25" i="17"/>
  <c r="B26" i="17"/>
  <c r="B27" i="17"/>
  <c r="B28" i="17"/>
  <c r="B29" i="17"/>
  <c r="B30" i="17"/>
  <c r="B31" i="17"/>
  <c r="B32" i="17"/>
  <c r="B33" i="17"/>
  <c r="B34" i="17"/>
  <c r="B35" i="17"/>
  <c r="B36" i="17"/>
  <c r="B37" i="17"/>
  <c r="B38" i="17"/>
  <c r="B39" i="17"/>
  <c r="B40" i="17"/>
  <c r="B41" i="17"/>
  <c r="B42" i="17"/>
  <c r="B43" i="17"/>
  <c r="B44" i="17"/>
  <c r="B45" i="17"/>
  <c r="B46" i="17"/>
  <c r="B47" i="17"/>
  <c r="B48" i="17"/>
  <c r="B49" i="17"/>
  <c r="B50" i="17"/>
  <c r="B51" i="17"/>
  <c r="B52" i="17"/>
  <c r="B53" i="17"/>
  <c r="B54" i="17"/>
  <c r="C3" i="17"/>
  <c r="C10" i="17"/>
  <c r="D3" i="17"/>
  <c r="C5" i="17"/>
  <c r="C4" i="17"/>
  <c r="C6" i="17"/>
  <c r="D10" i="17"/>
  <c r="E10" i="17"/>
  <c r="D6" i="17"/>
  <c r="E6" i="17"/>
  <c r="D4" i="17"/>
  <c r="E4" i="17"/>
  <c r="D5" i="17"/>
  <c r="E5" i="17"/>
  <c r="C11" i="17"/>
  <c r="D11" i="17"/>
  <c r="E3" i="17"/>
  <c r="E11" i="17"/>
  <c r="C28" i="16" l="1"/>
  <c r="D3" i="16" s="1"/>
  <c r="C51" i="16"/>
  <c r="D4" i="16" s="1"/>
  <c r="D9" i="16"/>
  <c r="C3" i="16" s="1"/>
  <c r="C5" i="16" s="1"/>
  <c r="D32" i="16"/>
  <c r="C4" i="16" s="1"/>
  <c r="D5" i="16" l="1"/>
</calcChain>
</file>

<file path=xl/sharedStrings.xml><?xml version="1.0" encoding="utf-8"?>
<sst xmlns="http://schemas.openxmlformats.org/spreadsheetml/2006/main" count="389" uniqueCount="196">
  <si>
    <t>Total</t>
  </si>
  <si>
    <t>Pallet # 1</t>
  </si>
  <si>
    <t>Pallet # 2</t>
  </si>
  <si>
    <t>Pallet # 4</t>
  </si>
  <si>
    <t>Pallet # 8</t>
  </si>
  <si>
    <t>Pallet no.</t>
  </si>
  <si>
    <t>Bar no.</t>
  </si>
  <si>
    <t>Net weight (kg)</t>
  </si>
  <si>
    <t>Pallet no.:</t>
  </si>
  <si>
    <t>Commodity:</t>
    <phoneticPr fontId="6"/>
  </si>
  <si>
    <t>Brand name:</t>
    <phoneticPr fontId="6"/>
  </si>
  <si>
    <t>Purity:</t>
  </si>
  <si>
    <t>Total</t>
    <phoneticPr fontId="0" type="noConversion"/>
  </si>
  <si>
    <t>Silver bar</t>
  </si>
  <si>
    <t>No. of bars:</t>
  </si>
  <si>
    <t>Pallet # 3</t>
    <phoneticPr fontId="8" type="noConversion"/>
  </si>
  <si>
    <t>Pallet # 8</t>
    <phoneticPr fontId="8" type="noConversion"/>
  </si>
  <si>
    <t>Brink's ref. no.</t>
  </si>
  <si>
    <t>Net weight (oz)</t>
  </si>
  <si>
    <t>Brand name</t>
  </si>
  <si>
    <t>Total (kg)</t>
  </si>
  <si>
    <t>No. of bars</t>
  </si>
  <si>
    <t>JTQX</t>
  </si>
  <si>
    <t>999.9</t>
  </si>
  <si>
    <t>022609127</t>
  </si>
  <si>
    <t>022609128</t>
  </si>
  <si>
    <t>022609129</t>
  </si>
  <si>
    <t>022609141</t>
  </si>
  <si>
    <t>022609142</t>
  </si>
  <si>
    <t>022609143</t>
  </si>
  <si>
    <t>022609144</t>
  </si>
  <si>
    <t>022609145</t>
  </si>
  <si>
    <t>022609146</t>
  </si>
  <si>
    <t>022609147</t>
  </si>
  <si>
    <t>022609148</t>
  </si>
  <si>
    <t>022609149</t>
  </si>
  <si>
    <t>022609150</t>
  </si>
  <si>
    <t>022609151</t>
  </si>
  <si>
    <t>022609152</t>
  </si>
  <si>
    <t>022609154</t>
  </si>
  <si>
    <t>022609155</t>
  </si>
  <si>
    <t>022609156</t>
  </si>
  <si>
    <t>022609157</t>
  </si>
  <si>
    <t>022609158</t>
  </si>
  <si>
    <t>022609159</t>
  </si>
  <si>
    <t>022609160</t>
  </si>
  <si>
    <t>022609162</t>
  </si>
  <si>
    <t>022609163</t>
  </si>
  <si>
    <t>022609164</t>
  </si>
  <si>
    <t>022609165</t>
  </si>
  <si>
    <t>022609166</t>
  </si>
  <si>
    <t>022609167</t>
  </si>
  <si>
    <t>022609168</t>
  </si>
  <si>
    <t>022609169</t>
  </si>
  <si>
    <t>022609171</t>
  </si>
  <si>
    <t>022609172</t>
  </si>
  <si>
    <t>022609173</t>
  </si>
  <si>
    <t>022609174</t>
  </si>
  <si>
    <t>022609175</t>
  </si>
  <si>
    <t>022609176</t>
  </si>
  <si>
    <t>022609177</t>
  </si>
  <si>
    <t>022609178</t>
  </si>
  <si>
    <t>022609179</t>
  </si>
  <si>
    <t>022609180</t>
  </si>
  <si>
    <t>022609181</t>
  </si>
  <si>
    <t>022609182</t>
  </si>
  <si>
    <t>022609183</t>
  </si>
  <si>
    <t>022609184</t>
  </si>
  <si>
    <t>022609185</t>
  </si>
  <si>
    <t>022609186</t>
  </si>
  <si>
    <t>022609187</t>
  </si>
  <si>
    <t>022609188</t>
  </si>
  <si>
    <t>022609189</t>
  </si>
  <si>
    <t>022609190</t>
  </si>
  <si>
    <t>022609191</t>
  </si>
  <si>
    <t>022609192</t>
  </si>
  <si>
    <t>022609193</t>
  </si>
  <si>
    <t>022609194</t>
  </si>
  <si>
    <t>022609195</t>
  </si>
  <si>
    <t>022609196</t>
  </si>
  <si>
    <t>022610101</t>
  </si>
  <si>
    <t>022610102</t>
  </si>
  <si>
    <t>022610103</t>
  </si>
  <si>
    <t>022610104</t>
  </si>
  <si>
    <t>022610105</t>
  </si>
  <si>
    <t>022610106</t>
  </si>
  <si>
    <t>022610107</t>
  </si>
  <si>
    <t>022610108</t>
  </si>
  <si>
    <t>022610109</t>
  </si>
  <si>
    <t>022610110</t>
  </si>
  <si>
    <t>022610111</t>
  </si>
  <si>
    <t>022610112</t>
  </si>
  <si>
    <t>022610113</t>
  </si>
  <si>
    <t>022610114</t>
  </si>
  <si>
    <t>022610115</t>
  </si>
  <si>
    <t>022610116</t>
  </si>
  <si>
    <t>022610117</t>
  </si>
  <si>
    <t>022610118</t>
  </si>
  <si>
    <t>022610119</t>
  </si>
  <si>
    <t>022610120</t>
  </si>
  <si>
    <t>022610121</t>
  </si>
  <si>
    <t>022610122</t>
  </si>
  <si>
    <t>022610123</t>
  </si>
  <si>
    <t>022610124</t>
  </si>
  <si>
    <t>022610125</t>
  </si>
  <si>
    <t>022610126</t>
  </si>
  <si>
    <t>022610127</t>
  </si>
  <si>
    <t>022610128</t>
  </si>
  <si>
    <t>022610129</t>
  </si>
  <si>
    <t>022610130</t>
  </si>
  <si>
    <t>022610131</t>
  </si>
  <si>
    <t>022610132</t>
  </si>
  <si>
    <t>022610133</t>
  </si>
  <si>
    <t>022610134</t>
  </si>
  <si>
    <t>022610135</t>
  </si>
  <si>
    <t>022610136</t>
  </si>
  <si>
    <t>022610143</t>
  </si>
  <si>
    <t>022610144</t>
  </si>
  <si>
    <t>022610145</t>
  </si>
  <si>
    <t>022610146</t>
  </si>
  <si>
    <t>022610147</t>
  </si>
  <si>
    <t>022610148</t>
  </si>
  <si>
    <t>022610149</t>
  </si>
  <si>
    <t>022610150</t>
  </si>
  <si>
    <t>022610152</t>
  </si>
  <si>
    <t>022610153</t>
  </si>
  <si>
    <t>022610154</t>
  </si>
  <si>
    <t>022610155</t>
  </si>
  <si>
    <t>022610156</t>
  </si>
  <si>
    <t>022610157</t>
  </si>
  <si>
    <t>022610158</t>
  </si>
  <si>
    <t>022610159</t>
  </si>
  <si>
    <t>022610160</t>
  </si>
  <si>
    <t>022610161</t>
  </si>
  <si>
    <t>022610162</t>
  </si>
  <si>
    <t>022610163</t>
  </si>
  <si>
    <t>022610172</t>
  </si>
  <si>
    <t>022610137</t>
  </si>
  <si>
    <t>022610138</t>
  </si>
  <si>
    <t>022610139</t>
  </si>
  <si>
    <t>022610140</t>
  </si>
  <si>
    <t>022610141</t>
  </si>
  <si>
    <t>022610142</t>
  </si>
  <si>
    <t>022610164</t>
  </si>
  <si>
    <t>022610165</t>
  </si>
  <si>
    <t>022610166</t>
  </si>
  <si>
    <t>022610167</t>
  </si>
  <si>
    <t>022610168</t>
  </si>
  <si>
    <t>022610169</t>
  </si>
  <si>
    <t>022610170</t>
  </si>
  <si>
    <t>022610171</t>
  </si>
  <si>
    <t>022610173</t>
  </si>
  <si>
    <t>022610175</t>
  </si>
  <si>
    <t>022610176</t>
  </si>
  <si>
    <t>022610177</t>
  </si>
  <si>
    <t>022610178</t>
  </si>
  <si>
    <t>022610179</t>
  </si>
  <si>
    <t>022610180</t>
  </si>
  <si>
    <t>022610181</t>
  </si>
  <si>
    <t>022610182</t>
  </si>
  <si>
    <t>022613106</t>
  </si>
  <si>
    <t>022613107</t>
  </si>
  <si>
    <t>022613108</t>
  </si>
  <si>
    <t>022613109</t>
  </si>
  <si>
    <t>022613110</t>
  </si>
  <si>
    <t>022613111</t>
  </si>
  <si>
    <t>022613112</t>
  </si>
  <si>
    <t>022613113</t>
  </si>
  <si>
    <t>022613114</t>
  </si>
  <si>
    <t>022613115</t>
  </si>
  <si>
    <t>022613117</t>
  </si>
  <si>
    <t>022613118</t>
  </si>
  <si>
    <t>022613119</t>
  </si>
  <si>
    <t>022613120</t>
  </si>
  <si>
    <t>022613121</t>
  </si>
  <si>
    <t>022613122</t>
  </si>
  <si>
    <t>022613123</t>
  </si>
  <si>
    <t>022613124</t>
  </si>
  <si>
    <t>022613125</t>
  </si>
  <si>
    <t>022613126</t>
  </si>
  <si>
    <t>022613151</t>
  </si>
  <si>
    <t>022613155</t>
  </si>
  <si>
    <t>022613157</t>
  </si>
  <si>
    <t>022613159</t>
  </si>
  <si>
    <t>022613127</t>
  </si>
  <si>
    <t>022613128</t>
  </si>
  <si>
    <t>022613129</t>
  </si>
  <si>
    <t>022613130</t>
  </si>
  <si>
    <t>022613131</t>
  </si>
  <si>
    <t>022613132</t>
  </si>
  <si>
    <t>022613133</t>
  </si>
  <si>
    <t>022613134</t>
  </si>
  <si>
    <t>022613135</t>
  </si>
  <si>
    <t>022613136</t>
  </si>
  <si>
    <t>AG43454</t>
  </si>
  <si>
    <t>1-4,8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</si>
</sst>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96" formatCode="#,##0.000"/>
    <numFmt numFmtId="197" formatCode="#,##0.0000"/>
    <numFmt numFmtId="200" formatCode="0.000"/>
    <numFmt numFmtId="201" formatCode="#,##0.00000"/>
    <numFmt numFmtId="202" formatCode="0.0000"/>
    <numFmt numFmtId="206" formatCode="0_);[Red]\(0\)"/>
  </numFmts>
  <fonts count="17">
    <font>
      <sz val="10"/>
      <name val="Arial"/>
      <family val="2"/>
    </font>
    <font>
      <sz val="10"/>
      <name val="Arial"/>
      <family val="2"/>
    </font>
    <font>
      <sz val="12"/>
      <name val="宋体"/>
    </font>
    <font>
      <sz val="10"/>
      <name val="Arial"/>
      <family val="2"/>
    </font>
    <font>
      <sz val="11"/>
      <color indexed="8"/>
      <name val="Tahoma"/>
      <family val="2"/>
      <charset val="134"/>
    </font>
    <font>
      <sz val="12"/>
      <name val="宋体"/>
    </font>
    <font>
      <sz val="11"/>
      <name val="돋움"/>
      <family val="2"/>
      <charset val="129"/>
    </font>
    <font>
      <sz val="11"/>
      <name val="돋움"/>
      <family val="2"/>
      <charset val="129"/>
    </font>
    <font>
      <sz val="9"/>
      <name val="MingLiU"/>
      <family val="3"/>
      <charset val="136"/>
    </font>
    <font>
      <sz val="11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name val="新細明體"/>
      <family val="1"/>
      <scheme val="minor"/>
    </font>
    <font>
      <sz val="10"/>
      <name val="新細明體"/>
      <family val="1"/>
      <scheme val="minor"/>
    </font>
    <font>
      <b/>
      <sz val="12"/>
      <name val="新細明體"/>
      <family val="1"/>
      <scheme val="minor"/>
    </font>
    <font>
      <b/>
      <sz val="12"/>
      <name val="新細明體"/>
      <family val="1"/>
      <charset val="136"/>
      <scheme val="minor"/>
    </font>
    <font>
      <b/>
      <sz val="12"/>
      <name val="新細明體"/>
      <family val="2"/>
      <scheme val="minor"/>
    </font>
    <font>
      <sz val="12"/>
      <name val="新細明體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2">
    <xf numFmtId="0" fontId="0" fillId="0" borderId="0"/>
    <xf numFmtId="41" fontId="7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5" fillId="0" borderId="0">
      <alignment vertical="center"/>
    </xf>
    <xf numFmtId="0" fontId="9" fillId="0" borderId="0">
      <alignment vertical="center"/>
    </xf>
    <xf numFmtId="0" fontId="3" fillId="0" borderId="0"/>
    <xf numFmtId="0" fontId="2" fillId="0" borderId="0">
      <alignment vertical="center"/>
    </xf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2" fillId="0" borderId="0"/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/>
    <xf numFmtId="0" fontId="4" fillId="0" borderId="0">
      <alignment vertical="center"/>
    </xf>
  </cellStyleXfs>
  <cellXfs count="63">
    <xf numFmtId="0" fontId="0" fillId="0" borderId="0" xfId="0"/>
    <xf numFmtId="197" fontId="11" fillId="2" borderId="0" xfId="0" applyNumberFormat="1" applyFont="1" applyFill="1" applyAlignment="1">
      <alignment horizontal="center"/>
    </xf>
    <xf numFmtId="0" fontId="11" fillId="2" borderId="1" xfId="15" applyNumberFormat="1" applyFont="1" applyFill="1" applyBorder="1" applyAlignment="1">
      <alignment horizontal="center"/>
    </xf>
    <xf numFmtId="0" fontId="11" fillId="2" borderId="0" xfId="0" applyFont="1" applyFill="1"/>
    <xf numFmtId="0" fontId="12" fillId="2" borderId="0" xfId="0" applyFont="1" applyFill="1"/>
    <xf numFmtId="1" fontId="11" fillId="2" borderId="1" xfId="0" quotePrefix="1" applyNumberFormat="1" applyFont="1" applyFill="1" applyBorder="1" applyAlignment="1">
      <alignment horizontal="center"/>
    </xf>
    <xf numFmtId="0" fontId="11" fillId="2" borderId="0" xfId="0" applyNumberFormat="1" applyFont="1" applyFill="1" applyAlignment="1">
      <alignment horizontal="center"/>
    </xf>
    <xf numFmtId="0" fontId="13" fillId="2" borderId="1" xfId="14" applyNumberFormat="1" applyFont="1" applyFill="1" applyBorder="1" applyAlignment="1">
      <alignment horizontal="center"/>
    </xf>
    <xf numFmtId="197" fontId="13" fillId="2" borderId="1" xfId="14" applyNumberFormat="1" applyFont="1" applyFill="1" applyBorder="1" applyAlignment="1">
      <alignment horizontal="center"/>
    </xf>
    <xf numFmtId="3" fontId="13" fillId="2" borderId="1" xfId="14" applyNumberFormat="1" applyFont="1" applyFill="1" applyBorder="1" applyAlignment="1">
      <alignment horizontal="center"/>
    </xf>
    <xf numFmtId="196" fontId="13" fillId="2" borderId="1" xfId="16" applyNumberFormat="1" applyFont="1" applyFill="1" applyBorder="1" applyAlignment="1">
      <alignment horizontal="right"/>
    </xf>
    <xf numFmtId="196" fontId="13" fillId="2" borderId="1" xfId="16" applyNumberFormat="1" applyFont="1" applyFill="1" applyBorder="1" applyAlignment="1">
      <alignment horizontal="center"/>
    </xf>
    <xf numFmtId="0" fontId="13" fillId="2" borderId="1" xfId="0" applyNumberFormat="1" applyFont="1" applyFill="1" applyBorder="1" applyAlignment="1">
      <alignment horizontal="center"/>
    </xf>
    <xf numFmtId="197" fontId="13" fillId="2" borderId="1" xfId="0" applyNumberFormat="1" applyFont="1" applyFill="1" applyBorder="1" applyAlignment="1">
      <alignment horizontal="center"/>
    </xf>
    <xf numFmtId="200" fontId="11" fillId="2" borderId="0" xfId="0" applyNumberFormat="1" applyFont="1" applyFill="1" applyAlignment="1">
      <alignment horizontal="center"/>
    </xf>
    <xf numFmtId="200" fontId="11" fillId="2" borderId="0" xfId="0" applyNumberFormat="1" applyFont="1" applyFill="1"/>
    <xf numFmtId="0" fontId="12" fillId="2" borderId="0" xfId="0" applyFont="1" applyFill="1" applyAlignment="1">
      <alignment horizontal="center"/>
    </xf>
    <xf numFmtId="0" fontId="12" fillId="2" borderId="0" xfId="0" applyFont="1" applyFill="1" applyAlignment="1">
      <alignment horizontal="left"/>
    </xf>
    <xf numFmtId="0" fontId="11" fillId="2" borderId="0" xfId="0" applyFont="1" applyFill="1" applyAlignment="1">
      <alignment horizontal="left"/>
    </xf>
    <xf numFmtId="3" fontId="13" fillId="2" borderId="1" xfId="16" applyNumberFormat="1" applyFont="1" applyFill="1" applyBorder="1" applyAlignment="1">
      <alignment horizontal="left"/>
    </xf>
    <xf numFmtId="3" fontId="11" fillId="2" borderId="1" xfId="15" applyNumberFormat="1" applyFont="1" applyFill="1" applyBorder="1" applyAlignment="1">
      <alignment horizontal="center"/>
    </xf>
    <xf numFmtId="202" fontId="11" fillId="2" borderId="0" xfId="0" applyNumberFormat="1" applyFont="1" applyFill="1" applyAlignment="1">
      <alignment horizontal="center"/>
    </xf>
    <xf numFmtId="202" fontId="13" fillId="2" borderId="1" xfId="14" applyNumberFormat="1" applyFont="1" applyFill="1" applyBorder="1" applyAlignment="1">
      <alignment horizontal="center"/>
    </xf>
    <xf numFmtId="202" fontId="11" fillId="2" borderId="1" xfId="14" applyNumberFormat="1" applyFont="1" applyFill="1" applyBorder="1" applyAlignment="1">
      <alignment horizontal="center"/>
    </xf>
    <xf numFmtId="202" fontId="12" fillId="2" borderId="0" xfId="0" applyNumberFormat="1" applyFont="1" applyFill="1" applyAlignment="1">
      <alignment horizontal="center"/>
    </xf>
    <xf numFmtId="202" fontId="11" fillId="2" borderId="0" xfId="0" applyNumberFormat="1" applyFont="1" applyFill="1" applyAlignment="1">
      <alignment horizontal="left"/>
    </xf>
    <xf numFmtId="1" fontId="13" fillId="2" borderId="1" xfId="14" applyNumberFormat="1" applyFont="1" applyFill="1" applyBorder="1" applyAlignment="1">
      <alignment horizontal="center"/>
    </xf>
    <xf numFmtId="0" fontId="14" fillId="2" borderId="1" xfId="14" applyNumberFormat="1" applyFont="1" applyFill="1" applyBorder="1" applyAlignment="1">
      <alignment horizontal="center"/>
    </xf>
    <xf numFmtId="0" fontId="15" fillId="0" borderId="1" xfId="15" applyFont="1" applyBorder="1" applyAlignment="1">
      <alignment horizontal="center" vertical="center"/>
    </xf>
    <xf numFmtId="196" fontId="15" fillId="0" borderId="1" xfId="15" applyNumberFormat="1" applyFont="1" applyBorder="1" applyAlignment="1">
      <alignment horizontal="center" vertical="center"/>
    </xf>
    <xf numFmtId="206" fontId="15" fillId="0" borderId="1" xfId="15" applyNumberFormat="1" applyFont="1" applyBorder="1" applyAlignment="1">
      <alignment horizontal="center" vertical="center"/>
    </xf>
    <xf numFmtId="197" fontId="15" fillId="0" borderId="1" xfId="15" applyNumberFormat="1" applyFont="1" applyBorder="1" applyAlignment="1">
      <alignment horizontal="center" vertical="center"/>
    </xf>
    <xf numFmtId="3" fontId="15" fillId="0" borderId="1" xfId="15" applyNumberFormat="1" applyFont="1" applyBorder="1" applyAlignment="1">
      <alignment horizontal="center" vertical="center"/>
    </xf>
    <xf numFmtId="0" fontId="15" fillId="0" borderId="1" xfId="9" applyFont="1" applyBorder="1" applyAlignment="1">
      <alignment horizontal="center" vertical="center"/>
    </xf>
    <xf numFmtId="1" fontId="15" fillId="0" borderId="1" xfId="9" applyNumberFormat="1" applyFont="1" applyBorder="1" applyAlignment="1">
      <alignment horizontal="center" vertical="center"/>
    </xf>
    <xf numFmtId="206" fontId="15" fillId="0" borderId="1" xfId="9" applyNumberFormat="1" applyFont="1" applyBorder="1" applyAlignment="1">
      <alignment horizontal="center" vertical="center"/>
    </xf>
    <xf numFmtId="0" fontId="16" fillId="0" borderId="0" xfId="9" applyFont="1" applyAlignment="1">
      <alignment horizontal="center" vertical="center"/>
    </xf>
    <xf numFmtId="197" fontId="16" fillId="0" borderId="0" xfId="9" applyNumberFormat="1" applyFont="1" applyAlignment="1">
      <alignment horizontal="center" vertical="center"/>
    </xf>
    <xf numFmtId="206" fontId="16" fillId="0" borderId="0" xfId="9" applyNumberFormat="1" applyFont="1" applyAlignment="1">
      <alignment horizontal="center" vertical="center"/>
    </xf>
    <xf numFmtId="196" fontId="16" fillId="0" borderId="1" xfId="15" applyNumberFormat="1" applyFont="1" applyBorder="1" applyAlignment="1">
      <alignment horizontal="center" vertical="center"/>
    </xf>
    <xf numFmtId="197" fontId="16" fillId="0" borderId="1" xfId="15" applyNumberFormat="1" applyFont="1" applyBorder="1" applyAlignment="1">
      <alignment horizontal="center" vertical="center"/>
    </xf>
    <xf numFmtId="197" fontId="16" fillId="0" borderId="1" xfId="15" quotePrefix="1" applyNumberFormat="1" applyFont="1" applyBorder="1" applyAlignment="1">
      <alignment horizontal="center" vertical="center"/>
    </xf>
    <xf numFmtId="0" fontId="16" fillId="0" borderId="1" xfId="15" quotePrefix="1" applyNumberFormat="1" applyFont="1" applyBorder="1" applyAlignment="1">
      <alignment horizontal="center" vertical="center"/>
    </xf>
    <xf numFmtId="206" fontId="16" fillId="0" borderId="1" xfId="9" quotePrefix="1" applyNumberFormat="1" applyFont="1" applyBorder="1" applyAlignment="1">
      <alignment horizontal="center" vertical="center"/>
    </xf>
    <xf numFmtId="206" fontId="16" fillId="0" borderId="1" xfId="6" applyNumberFormat="1" applyFont="1" applyBorder="1" applyAlignment="1">
      <alignment horizontal="center" vertical="center"/>
    </xf>
    <xf numFmtId="196" fontId="16" fillId="0" borderId="2" xfId="9" applyNumberFormat="1" applyFont="1" applyBorder="1" applyAlignment="1">
      <alignment horizontal="center" vertical="center"/>
    </xf>
    <xf numFmtId="206" fontId="16" fillId="0" borderId="1" xfId="9" applyNumberFormat="1" applyFont="1" applyBorder="1" applyAlignment="1">
      <alignment horizontal="center" vertical="center"/>
    </xf>
    <xf numFmtId="201" fontId="15" fillId="0" borderId="1" xfId="15" applyNumberFormat="1" applyFont="1" applyBorder="1" applyAlignment="1">
      <alignment horizontal="center" vertical="center"/>
    </xf>
    <xf numFmtId="201" fontId="16" fillId="0" borderId="1" xfId="6" applyNumberFormat="1" applyFont="1" applyBorder="1" applyAlignment="1">
      <alignment horizontal="center" vertical="center"/>
    </xf>
    <xf numFmtId="201" fontId="16" fillId="0" borderId="1" xfId="9" applyNumberFormat="1" applyFont="1" applyBorder="1" applyAlignment="1">
      <alignment horizontal="center" vertical="center"/>
    </xf>
    <xf numFmtId="201" fontId="11" fillId="2" borderId="1" xfId="15" applyNumberFormat="1" applyFont="1" applyFill="1" applyBorder="1" applyAlignment="1">
      <alignment horizontal="center"/>
    </xf>
    <xf numFmtId="201" fontId="13" fillId="2" borderId="1" xfId="14" applyNumberFormat="1" applyFont="1" applyFill="1" applyBorder="1" applyAlignment="1">
      <alignment horizontal="center"/>
    </xf>
    <xf numFmtId="201" fontId="11" fillId="2" borderId="1" xfId="0" applyNumberFormat="1" applyFont="1" applyFill="1" applyBorder="1" applyAlignment="1">
      <alignment horizontal="center"/>
    </xf>
    <xf numFmtId="0" fontId="11" fillId="0" borderId="1" xfId="15" applyNumberFormat="1" applyFont="1" applyFill="1" applyBorder="1" applyAlignment="1">
      <alignment horizontal="center"/>
    </xf>
    <xf numFmtId="202" fontId="11" fillId="0" borderId="1" xfId="14" applyNumberFormat="1" applyFont="1" applyFill="1" applyBorder="1" applyAlignment="1">
      <alignment horizontal="center"/>
    </xf>
    <xf numFmtId="3" fontId="11" fillId="0" borderId="1" xfId="15" applyNumberFormat="1" applyFont="1" applyFill="1" applyBorder="1" applyAlignment="1">
      <alignment horizontal="center"/>
    </xf>
    <xf numFmtId="201" fontId="11" fillId="0" borderId="1" xfId="15" applyNumberFormat="1" applyFont="1" applyFill="1" applyBorder="1" applyAlignment="1">
      <alignment horizontal="center"/>
    </xf>
    <xf numFmtId="0" fontId="16" fillId="3" borderId="1" xfId="15" applyFont="1" applyFill="1" applyBorder="1" applyAlignment="1">
      <alignment horizontal="center" vertical="center"/>
    </xf>
    <xf numFmtId="196" fontId="16" fillId="3" borderId="1" xfId="15" applyNumberFormat="1" applyFont="1" applyFill="1" applyBorder="1" applyAlignment="1">
      <alignment horizontal="center" vertical="center"/>
    </xf>
    <xf numFmtId="3" fontId="16" fillId="3" borderId="1" xfId="15" applyNumberFormat="1" applyFont="1" applyFill="1" applyBorder="1" applyAlignment="1">
      <alignment horizontal="center" vertical="center"/>
    </xf>
    <xf numFmtId="201" fontId="16" fillId="3" borderId="1" xfId="15" applyNumberFormat="1" applyFont="1" applyFill="1" applyBorder="1" applyAlignment="1">
      <alignment horizontal="center" vertical="center"/>
    </xf>
    <xf numFmtId="0" fontId="15" fillId="2" borderId="1" xfId="0" applyNumberFormat="1" applyFont="1" applyFill="1" applyBorder="1" applyAlignment="1">
      <alignment horizontal="center"/>
    </xf>
    <xf numFmtId="201" fontId="15" fillId="2" borderId="1" xfId="0" applyNumberFormat="1" applyFont="1" applyFill="1" applyBorder="1" applyAlignment="1">
      <alignment horizontal="center"/>
    </xf>
  </cellXfs>
  <cellStyles count="22">
    <cellStyle name="Comma [0] 2 2" xfId="1" xr:uid="{A6CB84D1-F923-495A-B428-87445FABF4F3}"/>
    <cellStyle name="Comma [0] 5" xfId="2" xr:uid="{8BBBDC81-D2C4-47AC-AC0C-1087FC427106}"/>
    <cellStyle name="Comma [0] 6" xfId="3" xr:uid="{1B0922A2-1ECE-4B13-9FC4-9965B2D34FFD}"/>
    <cellStyle name="Normal 2" xfId="4" xr:uid="{D0839DAC-5B66-4752-9159-2E77A1367578}"/>
    <cellStyle name="Normal 2 2" xfId="5" xr:uid="{D7DD34B0-BCD9-419F-B1C1-CBB0E4BF7571}"/>
    <cellStyle name="Normal 2 2 2" xfId="6" xr:uid="{0BF708E5-B358-40E0-B6BB-045F46A64BBB}"/>
    <cellStyle name="Normal 2 3" xfId="7" xr:uid="{9DCDC46D-5CBA-4BF2-998F-3056B45653B5}"/>
    <cellStyle name="Normal 3" xfId="8" xr:uid="{C06282CE-B302-4B42-82F7-ADC13C6CAEC8}"/>
    <cellStyle name="Normal 3 2" xfId="9" xr:uid="{56BB78D3-EB1A-4AAE-86EF-9F9EB0EB62AF}"/>
    <cellStyle name="Normal 4" xfId="10" xr:uid="{4CFB6560-8F46-46EA-BA53-E0A506D5965D}"/>
    <cellStyle name="Normal 5" xfId="11" xr:uid="{0C748057-71C7-4561-BFAC-149DD37385A4}"/>
    <cellStyle name="Normal 5 2" xfId="12" xr:uid="{0C85475B-A6CB-4375-9ED3-4344E4B785E7}"/>
    <cellStyle name="Normal 7" xfId="13" xr:uid="{ACFD92C3-1CA8-4852-9529-A5034C8A91EA}"/>
    <cellStyle name="Normal_AG239 Torch Metal 15tons" xfId="14" xr:uid="{C4D7CF05-D34A-4AD0-BFF2-A7D863D75A7E}"/>
    <cellStyle name="Normal_AG239 Torch Metal 15tons 2" xfId="15" xr:uid="{FE03A52C-14B0-46BC-9943-2C47559581FE}"/>
    <cellStyle name="Normal_AG448 Torch Metal 6tons" xfId="16" xr:uid="{CCA61134-260D-4C69-891A-47611B36157B}"/>
    <cellStyle name="一般" xfId="0" builtinId="0"/>
    <cellStyle name="一般 2" xfId="17" xr:uid="{C64C2165-DCBA-41A3-88BF-E8E7E46BCF10}"/>
    <cellStyle name="一般 3" xfId="18" xr:uid="{49216C24-8E81-4DFF-B8C7-D8EB37FC575A}"/>
    <cellStyle name="常规 2" xfId="19" xr:uid="{9A3EF165-5560-4607-AB7B-261C0D1D169E}"/>
    <cellStyle name="常规 2 2" xfId="20" xr:uid="{BB8252B9-DDED-44DB-8EA7-4DA95233B747}"/>
    <cellStyle name="常规 3" xfId="21" xr:uid="{1BAC0115-0E11-45FE-9562-23909F9F998A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4srv\&#24037;&#22580;&#21934;&#34920;\2006-09\2006-01\2005-11\form-jm\_form%20-%20jm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phkdsfnp01\IAC_SWH$\kpmgetax\&#44256;&#47140;&#50500;&#50672;\&#44397;&#51228;&#51312;&#49464;-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phkdsfnp01\IAC_SWH$\Users\ngraykh\AppData\Local\Microsoft\Windows\Temporary%20Internet%20Files\Content.Outlook\Q4WU0BOD\JP%20Morgan%20bar%20list%20(3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出倉入箱 "/>
      <sheetName val="NSSM-豐業"/>
      <sheetName val="三井"/>
      <sheetName val="HERAEUS"/>
      <sheetName val="JM-2"/>
      <sheetName val="出倉入箱_"/>
      <sheetName val="出倉入箱_1"/>
      <sheetName val="出倉入箱_2"/>
      <sheetName val="出倉入箱_3"/>
    </sheetNames>
    <sheetDataSet>
      <sheetData sheetId="0"/>
      <sheetData sheetId="1"/>
      <sheetData sheetId="2"/>
      <sheetData sheetId="3" refreshError="1"/>
      <sheetData sheetId="4" refreshError="1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기본사항"/>
      <sheetName val="8(갑)"/>
      <sheetName val="8(을)"/>
      <sheetName val="8(병)"/>
      <sheetName val="요약손익계산서"/>
      <sheetName val="3"/>
      <sheetName val="1의3"/>
      <sheetName val="1의3 (2)"/>
      <sheetName val="1의3 (3)"/>
      <sheetName val="1"/>
      <sheetName val="1 (2)"/>
      <sheetName val="1 (3)"/>
      <sheetName val="1의2"/>
      <sheetName val="1의2 (2)"/>
      <sheetName val="1의2 (3)"/>
      <sheetName val="2"/>
      <sheetName val="5"/>
      <sheetName val="10의2(갑)"/>
      <sheetName val="10의2(을)"/>
      <sheetName val="10의2(병)"/>
      <sheetName val="10의2(정)"/>
      <sheetName val="10의3"/>
      <sheetName val="10의8"/>
      <sheetName val="10의9"/>
      <sheetName val="6의2"/>
      <sheetName val="본점경비배분"/>
      <sheetName val="81"/>
      <sheetName val="82"/>
      <sheetName val="83"/>
      <sheetName val="1의3_(2)"/>
      <sheetName val="1의3_(3)"/>
      <sheetName val="1_(2)"/>
      <sheetName val="1_(3)"/>
      <sheetName val="1의2_(2)"/>
      <sheetName val="1의2_(3)"/>
      <sheetName val="1의3_(2)1"/>
      <sheetName val="1의3_(3)1"/>
      <sheetName val="1_(2)1"/>
      <sheetName val="1_(3)1"/>
      <sheetName val="1의2_(2)1"/>
      <sheetName val="1의2_(3)1"/>
      <sheetName val="1의3_(2)2"/>
      <sheetName val="1의3_(3)2"/>
      <sheetName val="1_(2)2"/>
      <sheetName val="1_(3)2"/>
      <sheetName val="1의2_(2)2"/>
      <sheetName val="1의2_(3)2"/>
      <sheetName val="1의3_(2)3"/>
      <sheetName val="1의3_(3)3"/>
      <sheetName val="1_(2)3"/>
      <sheetName val="1_(3)3"/>
      <sheetName val="1의2_(2)3"/>
      <sheetName val="1의2_(3)3"/>
    </sheetNames>
    <sheetDataSet>
      <sheetData sheetId="0" refreshError="1">
        <row r="2">
          <cell r="A2" t="str">
            <v>000 기타</v>
          </cell>
          <cell r="B2" t="str">
            <v>AF 아프카니스탄</v>
          </cell>
          <cell r="C2" t="str">
            <v>AFA 아프카니스탄</v>
          </cell>
        </row>
        <row r="3">
          <cell r="A3" t="str">
            <v>004 아프가니스탄</v>
          </cell>
          <cell r="B3" t="str">
            <v>DZ 알제리</v>
          </cell>
          <cell r="C3" t="str">
            <v>DZD 알제리</v>
          </cell>
        </row>
        <row r="4">
          <cell r="A4" t="str">
            <v>008 알바니아</v>
          </cell>
          <cell r="B4" t="str">
            <v>AD 안도라</v>
          </cell>
          <cell r="C4" t="str">
            <v>ADP 안도라</v>
          </cell>
        </row>
        <row r="5">
          <cell r="A5" t="str">
            <v>010 남극지역</v>
          </cell>
          <cell r="B5" t="str">
            <v>AQ 안타티카</v>
          </cell>
          <cell r="C5" t="str">
            <v>NOK 안타티카</v>
          </cell>
        </row>
        <row r="6">
          <cell r="A6" t="str">
            <v>012 알제리</v>
          </cell>
          <cell r="B6" t="str">
            <v>AR 아르헨티나</v>
          </cell>
          <cell r="C6" t="str">
            <v>ARS 아르헨티나</v>
          </cell>
        </row>
        <row r="7">
          <cell r="A7" t="str">
            <v>016 미국령사모아</v>
          </cell>
          <cell r="B7" t="str">
            <v>AU 호주</v>
          </cell>
          <cell r="C7" t="str">
            <v>AUD 호주</v>
          </cell>
        </row>
        <row r="8">
          <cell r="A8" t="str">
            <v>020 안도라</v>
          </cell>
          <cell r="B8" t="str">
            <v>AZ 아제르바이잔</v>
          </cell>
          <cell r="C8" t="str">
            <v>AZM 아제르바이잔</v>
          </cell>
        </row>
        <row r="9">
          <cell r="A9" t="str">
            <v>024 앙골라</v>
          </cell>
          <cell r="B9" t="str">
            <v>BH 바레인</v>
          </cell>
          <cell r="C9" t="str">
            <v>BHD 바레인</v>
          </cell>
        </row>
        <row r="10">
          <cell r="A10" t="str">
            <v>028 안티가바부다</v>
          </cell>
          <cell r="B10" t="str">
            <v>BB 바베이도스</v>
          </cell>
          <cell r="C10" t="str">
            <v>BBD 바베이도스</v>
          </cell>
        </row>
        <row r="11">
          <cell r="A11" t="str">
            <v>032 아르헨티나</v>
          </cell>
          <cell r="B11" t="str">
            <v>BY 베라루스</v>
          </cell>
          <cell r="C11" t="str">
            <v>BYB 베라루스</v>
          </cell>
        </row>
        <row r="12">
          <cell r="A12" t="str">
            <v>036 호주</v>
          </cell>
          <cell r="B12" t="str">
            <v>BZ 벨리제</v>
          </cell>
          <cell r="C12" t="str">
            <v>BZD 벨리제</v>
          </cell>
        </row>
        <row r="13">
          <cell r="A13" t="str">
            <v>040 오스트리아</v>
          </cell>
          <cell r="B13" t="str">
            <v>BM 버뮤다</v>
          </cell>
          <cell r="C13" t="str">
            <v>BMD 버뮤다</v>
          </cell>
        </row>
        <row r="14">
          <cell r="A14" t="str">
            <v>044 바하마</v>
          </cell>
          <cell r="B14" t="str">
            <v>BO 볼리비아</v>
          </cell>
          <cell r="C14" t="str">
            <v>BOB 볼리비아</v>
          </cell>
        </row>
        <row r="15">
          <cell r="A15" t="str">
            <v>048 바레인</v>
          </cell>
          <cell r="B15" t="str">
            <v>BW 보츠와나</v>
          </cell>
          <cell r="C15" t="str">
            <v>BWP 보츠와나</v>
          </cell>
        </row>
        <row r="16">
          <cell r="A16" t="str">
            <v>050 방글라데시</v>
          </cell>
          <cell r="B16" t="str">
            <v>BR 브라질</v>
          </cell>
          <cell r="C16" t="str">
            <v>BRL 브라질</v>
          </cell>
        </row>
        <row r="17">
          <cell r="A17" t="str">
            <v>052 바베이도스</v>
          </cell>
          <cell r="B17" t="str">
            <v>IO 영령　인도양</v>
          </cell>
          <cell r="C17" t="str">
            <v>MUR 영령　인도양</v>
          </cell>
        </row>
        <row r="18">
          <cell r="A18" t="str">
            <v>056 벨기에</v>
          </cell>
          <cell r="B18" t="str">
            <v>BG 불가리아</v>
          </cell>
          <cell r="C18" t="str">
            <v>BGN 불가리아</v>
          </cell>
        </row>
        <row r="19">
          <cell r="A19" t="str">
            <v>060 버뮤다제도</v>
          </cell>
          <cell r="B19" t="str">
            <v>BI 부룬디</v>
          </cell>
          <cell r="C19" t="str">
            <v>BIF 부룬디</v>
          </cell>
        </row>
        <row r="20">
          <cell r="A20" t="str">
            <v>064 부탄</v>
          </cell>
          <cell r="B20" t="str">
            <v>CM 카메룬</v>
          </cell>
          <cell r="C20" t="str">
            <v>XAF 카메룬</v>
          </cell>
        </row>
        <row r="21">
          <cell r="A21" t="str">
            <v>068 볼리비아</v>
          </cell>
          <cell r="B21" t="str">
            <v>CT 캔톤　아일랜드</v>
          </cell>
          <cell r="C21" t="str">
            <v>GBP 캔톤　아일랜드</v>
          </cell>
        </row>
        <row r="22">
          <cell r="A22" t="str">
            <v>072 보츠와나</v>
          </cell>
          <cell r="B22" t="str">
            <v>KY 영령　캐이만　군도</v>
          </cell>
          <cell r="C22" t="str">
            <v>KYD 영령　캐이만　군도</v>
          </cell>
        </row>
        <row r="23">
          <cell r="A23" t="str">
            <v>074 볼벳도</v>
          </cell>
          <cell r="B23" t="str">
            <v>TD 챠드</v>
          </cell>
          <cell r="C23" t="str">
            <v>XAF 챠드</v>
          </cell>
        </row>
        <row r="24">
          <cell r="A24" t="str">
            <v>076 브라질</v>
          </cell>
          <cell r="B24" t="str">
            <v>CN 중국</v>
          </cell>
          <cell r="C24" t="str">
            <v>CNY 중국</v>
          </cell>
        </row>
        <row r="25">
          <cell r="A25" t="str">
            <v>084 벨리즈</v>
          </cell>
          <cell r="B25" t="str">
            <v>CX 크리스마스　아일랜드</v>
          </cell>
          <cell r="C25" t="str">
            <v>AUD 크리스마스　아일랜드</v>
          </cell>
        </row>
        <row r="26">
          <cell r="A26" t="str">
            <v>086 영국령인도양지역</v>
          </cell>
          <cell r="B26" t="str">
            <v>CO 콜롬비아</v>
          </cell>
          <cell r="C26" t="str">
            <v>COP 콜롬비아</v>
          </cell>
        </row>
        <row r="27">
          <cell r="A27" t="str">
            <v>090 솔로몬아일란드</v>
          </cell>
          <cell r="B27" t="str">
            <v>CG 콩고</v>
          </cell>
          <cell r="C27" t="str">
            <v>XAF 콩고</v>
          </cell>
        </row>
        <row r="28">
          <cell r="A28" t="str">
            <v>092 영국령버진제도</v>
          </cell>
          <cell r="B28" t="str">
            <v>CR 코스타리카</v>
          </cell>
          <cell r="C28" t="str">
            <v>CRC 코스타리카</v>
          </cell>
        </row>
        <row r="29">
          <cell r="A29" t="str">
            <v>096 브르나이</v>
          </cell>
          <cell r="B29" t="str">
            <v>CU 쿠바</v>
          </cell>
          <cell r="C29" t="str">
            <v>CUP 쿠바</v>
          </cell>
        </row>
        <row r="30">
          <cell r="A30" t="str">
            <v>100 불가리아</v>
          </cell>
          <cell r="B30" t="str">
            <v>CZ 체코공화국</v>
          </cell>
          <cell r="C30" t="str">
            <v>CZK 체코공화국</v>
          </cell>
        </row>
        <row r="31">
          <cell r="A31" t="str">
            <v>104 미얀마</v>
          </cell>
          <cell r="B31" t="str">
            <v>DJ 지부티</v>
          </cell>
          <cell r="C31" t="str">
            <v>DJF 지부티</v>
          </cell>
        </row>
        <row r="32">
          <cell r="A32" t="str">
            <v>108 부룬디</v>
          </cell>
          <cell r="B32" t="str">
            <v>DO 도미니카공화국</v>
          </cell>
          <cell r="C32" t="str">
            <v>DOP 도미니카공화국</v>
          </cell>
        </row>
        <row r="33">
          <cell r="A33" t="str">
            <v>112 벨라루스</v>
          </cell>
          <cell r="B33" t="str">
            <v>TP 티모르</v>
          </cell>
          <cell r="C33" t="str">
            <v>IDR 티모르</v>
          </cell>
        </row>
        <row r="34">
          <cell r="A34" t="str">
            <v>116 캄푸치아</v>
          </cell>
          <cell r="B34" t="str">
            <v>EG 이집트</v>
          </cell>
          <cell r="C34" t="str">
            <v>EGP 이집트</v>
          </cell>
        </row>
        <row r="35">
          <cell r="A35" t="str">
            <v>120 카메룬</v>
          </cell>
          <cell r="B35" t="str">
            <v>GQ 적도　기니</v>
          </cell>
          <cell r="C35" t="str">
            <v>XAF 적도　기니</v>
          </cell>
        </row>
        <row r="36">
          <cell r="A36" t="str">
            <v>124 캐나다</v>
          </cell>
          <cell r="B36" t="str">
            <v>EE 에스토니아</v>
          </cell>
          <cell r="C36" t="str">
            <v>EEK 에스토니아</v>
          </cell>
        </row>
        <row r="37">
          <cell r="A37" t="str">
            <v>128 키리바티</v>
          </cell>
          <cell r="B37" t="str">
            <v>FO 파로에　군도</v>
          </cell>
          <cell r="C37" t="str">
            <v>DKK 파로에　군도</v>
          </cell>
        </row>
        <row r="38">
          <cell r="A38" t="str">
            <v>132 카보베르데</v>
          </cell>
          <cell r="B38" t="str">
            <v>FJ 피지</v>
          </cell>
          <cell r="C38" t="str">
            <v>FJD 피지</v>
          </cell>
        </row>
        <row r="39">
          <cell r="A39" t="str">
            <v>136 케이만제도</v>
          </cell>
          <cell r="B39" t="str">
            <v>FR 프랑스</v>
          </cell>
          <cell r="C39" t="str">
            <v>FRF 프랑스</v>
          </cell>
        </row>
        <row r="40">
          <cell r="A40" t="str">
            <v>140 중앙아프리카</v>
          </cell>
          <cell r="B40" t="str">
            <v>PF 불령　폴리네시아</v>
          </cell>
          <cell r="C40" t="str">
            <v>CFP 불령　폴리네시아</v>
          </cell>
        </row>
        <row r="41">
          <cell r="A41" t="str">
            <v>144 스리랑카</v>
          </cell>
          <cell r="B41" t="str">
            <v>GA 가봉</v>
          </cell>
          <cell r="C41" t="str">
            <v>XAF 가봉</v>
          </cell>
        </row>
        <row r="42">
          <cell r="A42" t="str">
            <v>148 차드</v>
          </cell>
          <cell r="B42" t="str">
            <v>GE 그루지야</v>
          </cell>
          <cell r="C42" t="str">
            <v>GEL 그루지야</v>
          </cell>
        </row>
        <row r="43">
          <cell r="A43" t="str">
            <v>152 칠레</v>
          </cell>
          <cell r="B43" t="str">
            <v>GH 가나</v>
          </cell>
          <cell r="C43" t="str">
            <v>GHC 가나</v>
          </cell>
        </row>
        <row r="44">
          <cell r="A44" t="str">
            <v>156 중국</v>
          </cell>
          <cell r="B44" t="str">
            <v>GR 그리스</v>
          </cell>
          <cell r="C44" t="str">
            <v>GRD 그리스</v>
          </cell>
        </row>
        <row r="45">
          <cell r="A45" t="str">
            <v>158 대만</v>
          </cell>
          <cell r="B45" t="str">
            <v>GD 그레나다</v>
          </cell>
          <cell r="C45" t="str">
            <v>XCD 그레나다</v>
          </cell>
        </row>
        <row r="46">
          <cell r="A46" t="str">
            <v>162 크리스마스</v>
          </cell>
          <cell r="B46" t="str">
            <v>GU 괌</v>
          </cell>
          <cell r="C46" t="str">
            <v>USD 괌</v>
          </cell>
        </row>
        <row r="47">
          <cell r="A47" t="str">
            <v>166 코코스제도</v>
          </cell>
          <cell r="B47" t="str">
            <v>GN 기니</v>
          </cell>
          <cell r="C47" t="str">
            <v>GNF 기니</v>
          </cell>
        </row>
        <row r="48">
          <cell r="A48" t="str">
            <v>170 콜롬비아</v>
          </cell>
          <cell r="B48" t="str">
            <v>GY 가이아나</v>
          </cell>
          <cell r="C48" t="str">
            <v>GYD 가이아나</v>
          </cell>
        </row>
        <row r="49">
          <cell r="A49" t="str">
            <v>174 코모르</v>
          </cell>
          <cell r="B49" t="str">
            <v>HM 허드　앤　맥도날드　군도</v>
          </cell>
          <cell r="C49" t="str">
            <v>AUD 허드　앤　맥도날드　군도</v>
          </cell>
        </row>
        <row r="50">
          <cell r="A50" t="str">
            <v>178 콩고</v>
          </cell>
          <cell r="B50" t="str">
            <v>HK 홍콩</v>
          </cell>
          <cell r="C50" t="str">
            <v>HKD 홍콩</v>
          </cell>
        </row>
        <row r="51">
          <cell r="A51" t="str">
            <v>180 자이르</v>
          </cell>
          <cell r="B51" t="str">
            <v>IS 아이슬란드</v>
          </cell>
        </row>
        <row r="52">
          <cell r="A52" t="str">
            <v>184 쿠크제도</v>
          </cell>
          <cell r="B52" t="str">
            <v>ID 인도네시아</v>
          </cell>
        </row>
        <row r="53">
          <cell r="A53" t="str">
            <v>188 코스타리카</v>
          </cell>
          <cell r="B53" t="str">
            <v>IQ 이라크</v>
          </cell>
        </row>
        <row r="54">
          <cell r="A54" t="str">
            <v>192 쿠바</v>
          </cell>
          <cell r="B54" t="str">
            <v>IL 이스라엘</v>
          </cell>
        </row>
        <row r="55">
          <cell r="A55" t="str">
            <v>196 사이프러스</v>
          </cell>
          <cell r="B55" t="str">
            <v>CI 코트디　봐르</v>
          </cell>
        </row>
        <row r="56">
          <cell r="A56" t="str">
            <v>200 체코공화국</v>
          </cell>
          <cell r="B56" t="str">
            <v>JP 일본</v>
          </cell>
        </row>
        <row r="57">
          <cell r="A57" t="str">
            <v>204 베냉</v>
          </cell>
          <cell r="B57" t="str">
            <v>JO 요르단</v>
          </cell>
        </row>
        <row r="58">
          <cell r="A58" t="str">
            <v>208 덴마크</v>
          </cell>
          <cell r="B58" t="str">
            <v>KE 케냐</v>
          </cell>
        </row>
        <row r="59">
          <cell r="A59" t="str">
            <v>212 도미니카연방</v>
          </cell>
          <cell r="B59" t="str">
            <v>KP 북한</v>
          </cell>
        </row>
        <row r="60">
          <cell r="A60" t="str">
            <v>214 도미니카공화국</v>
          </cell>
          <cell r="B60" t="str">
            <v>KR 한국</v>
          </cell>
        </row>
        <row r="61">
          <cell r="A61" t="str">
            <v>216 안타르티카</v>
          </cell>
          <cell r="B61" t="str">
            <v>KW 쿠웨이트</v>
          </cell>
        </row>
        <row r="62">
          <cell r="A62" t="str">
            <v>218 에콰도르</v>
          </cell>
          <cell r="B62" t="str">
            <v>AL 알바니아</v>
          </cell>
        </row>
        <row r="63">
          <cell r="A63" t="str">
            <v>222 엘살바도르</v>
          </cell>
          <cell r="B63" t="str">
            <v>AS 아메리칸　사모아</v>
          </cell>
        </row>
        <row r="64">
          <cell r="A64" t="str">
            <v>226 적도기니</v>
          </cell>
          <cell r="B64" t="str">
            <v>AO 앙골라</v>
          </cell>
        </row>
        <row r="65">
          <cell r="A65" t="str">
            <v>230 이디오피아</v>
          </cell>
          <cell r="B65" t="str">
            <v>AG 안티가　바부다</v>
          </cell>
        </row>
        <row r="66">
          <cell r="A66" t="str">
            <v>234 파로에제도</v>
          </cell>
          <cell r="B66" t="str">
            <v>AM 아르메니아</v>
          </cell>
        </row>
        <row r="67">
          <cell r="A67" t="str">
            <v>238 포클랜드</v>
          </cell>
          <cell r="B67" t="str">
            <v>AT 오스트리아</v>
          </cell>
        </row>
        <row r="68">
          <cell r="A68" t="str">
            <v>242 피지</v>
          </cell>
          <cell r="B68" t="str">
            <v>BS 바하마</v>
          </cell>
        </row>
        <row r="69">
          <cell r="A69" t="str">
            <v>246 핀란드</v>
          </cell>
          <cell r="B69" t="str">
            <v>BD 방글라데시</v>
          </cell>
        </row>
        <row r="70">
          <cell r="A70" t="str">
            <v>250 프랑스</v>
          </cell>
          <cell r="B70" t="str">
            <v>BY 베라루스</v>
          </cell>
        </row>
        <row r="71">
          <cell r="A71" t="str">
            <v>254 불란서령기아나</v>
          </cell>
          <cell r="B71" t="str">
            <v>BE 벨기에</v>
          </cell>
        </row>
        <row r="72">
          <cell r="A72" t="str">
            <v>258 프랑스령폴리네시아</v>
          </cell>
          <cell r="B72" t="str">
            <v>BJ 베닝</v>
          </cell>
        </row>
        <row r="73">
          <cell r="A73" t="str">
            <v>262 지부티</v>
          </cell>
          <cell r="B73" t="str">
            <v>BT 부탄</v>
          </cell>
        </row>
        <row r="74">
          <cell r="A74" t="str">
            <v>266 가봉</v>
          </cell>
          <cell r="B74" t="str">
            <v>BA 보스니아－헤르체고비나</v>
          </cell>
        </row>
        <row r="75">
          <cell r="A75" t="str">
            <v>270 감비아</v>
          </cell>
          <cell r="B75" t="str">
            <v>BV 보빗　군도</v>
          </cell>
        </row>
        <row r="76">
          <cell r="A76" t="str">
            <v>278 동독（폐지）</v>
          </cell>
          <cell r="B76" t="str">
            <v>BQ 영령　안탁</v>
          </cell>
        </row>
        <row r="77">
          <cell r="A77" t="str">
            <v>280 독일</v>
          </cell>
          <cell r="B77" t="str">
            <v>BN 브루나이</v>
          </cell>
        </row>
        <row r="78">
          <cell r="A78" t="str">
            <v>288 가나</v>
          </cell>
          <cell r="B78" t="str">
            <v>BF 부르키나　파소</v>
          </cell>
        </row>
        <row r="79">
          <cell r="A79" t="str">
            <v>292 지브랄타</v>
          </cell>
          <cell r="B79" t="str">
            <v>KH 캄보디아</v>
          </cell>
        </row>
        <row r="80">
          <cell r="A80" t="str">
            <v>296 키리바시</v>
          </cell>
          <cell r="B80" t="str">
            <v>CA 카나다</v>
          </cell>
        </row>
        <row r="81">
          <cell r="A81" t="str">
            <v>300 그리스</v>
          </cell>
          <cell r="B81" t="str">
            <v>CV 카보　베르데</v>
          </cell>
        </row>
        <row r="82">
          <cell r="A82" t="str">
            <v>304 그린랜드</v>
          </cell>
          <cell r="B82" t="str">
            <v>CF 중앙아프리카</v>
          </cell>
        </row>
        <row r="83">
          <cell r="A83" t="str">
            <v>308 그레나다</v>
          </cell>
          <cell r="B83" t="str">
            <v>CL 칠레</v>
          </cell>
        </row>
        <row r="84">
          <cell r="A84" t="str">
            <v>312 과델로페</v>
          </cell>
          <cell r="B84" t="str">
            <v>TW 대만</v>
          </cell>
        </row>
        <row r="85">
          <cell r="A85" t="str">
            <v>316 괌</v>
          </cell>
          <cell r="B85" t="str">
            <v>CC 코코스　군도</v>
          </cell>
        </row>
        <row r="86">
          <cell r="A86" t="str">
            <v>320 과테말라</v>
          </cell>
          <cell r="B86" t="str">
            <v>KM 코모로스</v>
          </cell>
        </row>
        <row r="87">
          <cell r="A87" t="str">
            <v>324 기니</v>
          </cell>
          <cell r="B87" t="str">
            <v>CK 쿡　아일랜드</v>
          </cell>
        </row>
        <row r="88">
          <cell r="A88" t="str">
            <v>328 가이아나</v>
          </cell>
          <cell r="B88" t="str">
            <v>HR 크로아티아</v>
          </cell>
        </row>
        <row r="89">
          <cell r="A89" t="str">
            <v>332 아이티</v>
          </cell>
          <cell r="B89" t="str">
            <v>CY 사이프러스</v>
          </cell>
        </row>
        <row r="90">
          <cell r="A90" t="str">
            <v>334 헤어드도멕도널드도</v>
          </cell>
          <cell r="B90" t="str">
            <v>DK 덴마크</v>
          </cell>
        </row>
        <row r="91">
          <cell r="A91" t="str">
            <v>336 바티칸</v>
          </cell>
          <cell r="B91" t="str">
            <v>DM 도미니카연방</v>
          </cell>
        </row>
        <row r="92">
          <cell r="A92" t="str">
            <v>340 온두라스</v>
          </cell>
          <cell r="B92" t="str">
            <v>TP 티모르</v>
          </cell>
        </row>
        <row r="93">
          <cell r="A93" t="str">
            <v>344 홍콩</v>
          </cell>
          <cell r="B93" t="str">
            <v>EC 에쿠아도르</v>
          </cell>
        </row>
        <row r="94">
          <cell r="A94" t="str">
            <v>348 헝가리</v>
          </cell>
          <cell r="B94" t="str">
            <v>SV 엘살바도르</v>
          </cell>
        </row>
        <row r="95">
          <cell r="A95" t="str">
            <v>352 아이슬란드</v>
          </cell>
          <cell r="B95" t="str">
            <v>ER 에리트리아</v>
          </cell>
        </row>
        <row r="96">
          <cell r="A96" t="str">
            <v>356 인도</v>
          </cell>
          <cell r="B96" t="str">
            <v>ET 이디오피아</v>
          </cell>
        </row>
        <row r="97">
          <cell r="A97" t="str">
            <v>360 인도네시아</v>
          </cell>
          <cell r="B97" t="str">
            <v>FK 포클랜드　군도</v>
          </cell>
        </row>
        <row r="98">
          <cell r="A98" t="str">
            <v>364 이란</v>
          </cell>
          <cell r="B98" t="str">
            <v>FI 핀란드</v>
          </cell>
        </row>
        <row r="99">
          <cell r="A99" t="str">
            <v>368 이라크</v>
          </cell>
          <cell r="B99" t="str">
            <v>GF 불령　가이아나</v>
          </cell>
        </row>
        <row r="100">
          <cell r="A100" t="str">
            <v>372 아일랜드</v>
          </cell>
          <cell r="B100" t="str">
            <v>TF 불령　남부지역</v>
          </cell>
        </row>
        <row r="101">
          <cell r="A101" t="str">
            <v>376 이스라엘</v>
          </cell>
          <cell r="B101" t="str">
            <v>GM 감비아</v>
          </cell>
        </row>
        <row r="102">
          <cell r="A102" t="str">
            <v>380 이탈리아</v>
          </cell>
          <cell r="B102" t="str">
            <v>DE 독일</v>
          </cell>
        </row>
        <row r="103">
          <cell r="A103" t="str">
            <v>384 코르디봐르</v>
          </cell>
          <cell r="B103" t="str">
            <v>GI 지브랄타</v>
          </cell>
        </row>
        <row r="104">
          <cell r="A104" t="str">
            <v>388 자메이카</v>
          </cell>
          <cell r="B104" t="str">
            <v>GL 그린랜드</v>
          </cell>
        </row>
        <row r="105">
          <cell r="A105" t="str">
            <v>392 일본</v>
          </cell>
          <cell r="B105" t="str">
            <v>GP 과델로프</v>
          </cell>
        </row>
        <row r="106">
          <cell r="A106" t="str">
            <v>396 존스톤도（폐지）</v>
          </cell>
          <cell r="B106" t="str">
            <v>GT 과테말라</v>
          </cell>
        </row>
        <row r="107">
          <cell r="A107" t="str">
            <v>400 요르단</v>
          </cell>
          <cell r="B107" t="str">
            <v>GW 기네비소</v>
          </cell>
        </row>
        <row r="108">
          <cell r="A108" t="str">
            <v>404 케냐</v>
          </cell>
          <cell r="B108" t="str">
            <v>HT 아이티</v>
          </cell>
        </row>
        <row r="109">
          <cell r="A109" t="str">
            <v>408 북한</v>
          </cell>
          <cell r="B109" t="str">
            <v>HN 온두라스</v>
          </cell>
        </row>
        <row r="110">
          <cell r="A110" t="str">
            <v>410 대한민국</v>
          </cell>
          <cell r="B110" t="str">
            <v>HU 헝가리</v>
          </cell>
        </row>
        <row r="111">
          <cell r="A111" t="str">
            <v>414 쿠웨이트</v>
          </cell>
          <cell r="B111" t="str">
            <v>IN 인디아</v>
          </cell>
        </row>
        <row r="112">
          <cell r="A112" t="str">
            <v>418 라오스</v>
          </cell>
          <cell r="B112" t="str">
            <v>IR 이란</v>
          </cell>
        </row>
        <row r="113">
          <cell r="A113" t="str">
            <v>422 레바논</v>
          </cell>
          <cell r="B113" t="str">
            <v>IE 아일랜드</v>
          </cell>
        </row>
        <row r="114">
          <cell r="A114" t="str">
            <v>426 레소토</v>
          </cell>
          <cell r="B114" t="str">
            <v>IT 이탈리아</v>
          </cell>
        </row>
        <row r="115">
          <cell r="A115" t="str">
            <v>430 라이베리아</v>
          </cell>
          <cell r="B115" t="str">
            <v>JM 자마이카</v>
          </cell>
        </row>
        <row r="116">
          <cell r="A116" t="str">
            <v>434 리비아</v>
          </cell>
          <cell r="B116" t="str">
            <v>JT 죤스톤　아일랜드</v>
          </cell>
        </row>
        <row r="117">
          <cell r="A117" t="str">
            <v>438 리히텐스타인</v>
          </cell>
          <cell r="B117" t="str">
            <v>KZ 카자흐</v>
          </cell>
        </row>
        <row r="118">
          <cell r="A118" t="str">
            <v>442 룩셈부르크</v>
          </cell>
          <cell r="B118" t="str">
            <v>KI 키리바티</v>
          </cell>
        </row>
        <row r="119">
          <cell r="A119" t="str">
            <v>446 마카오</v>
          </cell>
          <cell r="B119" t="str">
            <v>KG 키르기스</v>
          </cell>
        </row>
        <row r="120">
          <cell r="A120" t="str">
            <v>450 마다가스카르</v>
          </cell>
          <cell r="B120" t="str">
            <v>LA 라오스</v>
          </cell>
        </row>
        <row r="121">
          <cell r="A121" t="str">
            <v>454 말라위</v>
          </cell>
          <cell r="B121" t="str">
            <v>LV 라트비아</v>
          </cell>
        </row>
        <row r="122">
          <cell r="A122" t="str">
            <v>458 말레이시아</v>
          </cell>
          <cell r="B122" t="str">
            <v>LB 레바논</v>
          </cell>
        </row>
        <row r="123">
          <cell r="A123" t="str">
            <v>462 몰디브</v>
          </cell>
          <cell r="B123" t="str">
            <v>LS 레소토</v>
          </cell>
        </row>
        <row r="124">
          <cell r="A124" t="str">
            <v>466 말리</v>
          </cell>
          <cell r="B124" t="str">
            <v>LR 라이베리아</v>
          </cell>
        </row>
        <row r="125">
          <cell r="A125" t="str">
            <v>470 몰타</v>
          </cell>
          <cell r="B125" t="str">
            <v>LY 리비아</v>
          </cell>
        </row>
        <row r="126">
          <cell r="A126" t="str">
            <v>474 마티니크도</v>
          </cell>
          <cell r="B126" t="str">
            <v>LI 리히텐슈타인</v>
          </cell>
        </row>
        <row r="127">
          <cell r="A127" t="str">
            <v>478 모리타니</v>
          </cell>
          <cell r="B127" t="str">
            <v>LT 리투아니아</v>
          </cell>
        </row>
        <row r="128">
          <cell r="A128" t="str">
            <v>480 모리셔스</v>
          </cell>
          <cell r="B128" t="str">
            <v>LU 룩셈부르크</v>
          </cell>
        </row>
        <row r="129">
          <cell r="A129" t="str">
            <v>484 멕시코</v>
          </cell>
          <cell r="B129" t="str">
            <v>MO 마카오</v>
          </cell>
        </row>
        <row r="130">
          <cell r="A130" t="str">
            <v>488 미드웨이제도（폐지）</v>
          </cell>
          <cell r="B130" t="str">
            <v>YM 마세도니아</v>
          </cell>
        </row>
        <row r="131">
          <cell r="A131" t="str">
            <v>492 모나코</v>
          </cell>
          <cell r="B131" t="str">
            <v>MG 마다가스카르</v>
          </cell>
        </row>
        <row r="132">
          <cell r="A132" t="str">
            <v>496 몽고</v>
          </cell>
          <cell r="B132" t="str">
            <v>MW 말라위</v>
          </cell>
        </row>
        <row r="133">
          <cell r="A133" t="str">
            <v>500 몬트세라트</v>
          </cell>
          <cell r="B133" t="str">
            <v>MY 말레이지아</v>
          </cell>
        </row>
        <row r="134">
          <cell r="A134" t="str">
            <v>504 모로코</v>
          </cell>
          <cell r="B134" t="str">
            <v>MV 몰디브</v>
          </cell>
        </row>
        <row r="135">
          <cell r="A135" t="str">
            <v>508 모잠비크</v>
          </cell>
          <cell r="B135" t="str">
            <v>ML 말리</v>
          </cell>
        </row>
        <row r="136">
          <cell r="A136" t="str">
            <v>512 오만</v>
          </cell>
          <cell r="B136" t="str">
            <v>MT 몰타</v>
          </cell>
        </row>
        <row r="137">
          <cell r="A137" t="str">
            <v>516 나미비아</v>
          </cell>
          <cell r="B137" t="str">
            <v>MH 마샬　군도</v>
          </cell>
        </row>
        <row r="138">
          <cell r="A138" t="str">
            <v>520 나우루</v>
          </cell>
          <cell r="B138" t="str">
            <v>MQ 마티니크</v>
          </cell>
        </row>
        <row r="139">
          <cell r="A139" t="str">
            <v>524 네팔</v>
          </cell>
          <cell r="B139" t="str">
            <v>MR 모리타니</v>
          </cell>
        </row>
        <row r="140">
          <cell r="A140" t="str">
            <v>528 네덜란드</v>
          </cell>
          <cell r="B140" t="str">
            <v>MU 모리셔스</v>
          </cell>
        </row>
        <row r="141">
          <cell r="A141" t="str">
            <v>532 안틸레스</v>
          </cell>
          <cell r="B141" t="str">
            <v>MX 멕시코</v>
          </cell>
        </row>
        <row r="142">
          <cell r="A142" t="str">
            <v>536 중립지대</v>
          </cell>
          <cell r="B142" t="str">
            <v>FM 마이크로네시아</v>
          </cell>
        </row>
        <row r="143">
          <cell r="A143" t="str">
            <v>540 뉴칼레도니아</v>
          </cell>
          <cell r="B143" t="str">
            <v>MI 미드웨이　군도</v>
          </cell>
        </row>
        <row r="144">
          <cell r="A144" t="str">
            <v>548 바누아투</v>
          </cell>
          <cell r="B144" t="str">
            <v>MD 몰도바</v>
          </cell>
        </row>
        <row r="145">
          <cell r="A145" t="str">
            <v>554 뉴질랜드</v>
          </cell>
          <cell r="B145" t="str">
            <v>MC 모나코</v>
          </cell>
        </row>
        <row r="146">
          <cell r="A146" t="str">
            <v>558 니카라과</v>
          </cell>
          <cell r="B146" t="str">
            <v>MN 몽골</v>
          </cell>
        </row>
        <row r="147">
          <cell r="A147" t="str">
            <v>562 니제르</v>
          </cell>
          <cell r="B147" t="str">
            <v>MS 몬트세라트</v>
          </cell>
        </row>
        <row r="148">
          <cell r="A148" t="str">
            <v>566 나이지리아</v>
          </cell>
          <cell r="B148" t="str">
            <v>MA 모로코</v>
          </cell>
        </row>
        <row r="149">
          <cell r="A149" t="str">
            <v>570 나우에</v>
          </cell>
          <cell r="B149" t="str">
            <v>MZ 모잠비크</v>
          </cell>
        </row>
        <row r="150">
          <cell r="A150" t="str">
            <v>574 노퍽도</v>
          </cell>
          <cell r="B150" t="str">
            <v>MM 미얀마</v>
          </cell>
        </row>
        <row r="151">
          <cell r="A151" t="str">
            <v>578 노르웨이</v>
          </cell>
          <cell r="B151" t="str">
            <v>NA 나미비아</v>
          </cell>
        </row>
        <row r="152">
          <cell r="A152" t="str">
            <v>582 마샬제도</v>
          </cell>
          <cell r="B152" t="str">
            <v>NA 나미비아</v>
          </cell>
        </row>
        <row r="153">
          <cell r="A153" t="str">
            <v>586 파키스탄</v>
          </cell>
          <cell r="B153" t="str">
            <v>NR 나우르</v>
          </cell>
        </row>
        <row r="154">
          <cell r="A154" t="str">
            <v>590 파나마</v>
          </cell>
          <cell r="B154" t="str">
            <v>NP 네팔</v>
          </cell>
        </row>
        <row r="155">
          <cell r="A155" t="str">
            <v>598 파퓨아뉴기니아</v>
          </cell>
          <cell r="B155" t="str">
            <v>NL 네덜란드</v>
          </cell>
        </row>
        <row r="156">
          <cell r="A156" t="str">
            <v>600 파라과이</v>
          </cell>
          <cell r="B156" t="str">
            <v>NT 중립지대</v>
          </cell>
        </row>
        <row r="157">
          <cell r="A157" t="str">
            <v>604 페루</v>
          </cell>
          <cell r="B157" t="str">
            <v>NC 뉴　칼레도니아</v>
          </cell>
        </row>
        <row r="158">
          <cell r="A158" t="str">
            <v>608 필리핀</v>
          </cell>
          <cell r="B158" t="str">
            <v>NZ 뉴질랜드</v>
          </cell>
        </row>
        <row r="159">
          <cell r="A159" t="str">
            <v>612 핏카인도</v>
          </cell>
          <cell r="B159" t="str">
            <v>NI 니카라과</v>
          </cell>
        </row>
        <row r="160">
          <cell r="A160" t="str">
            <v>616 폴란드</v>
          </cell>
          <cell r="B160" t="str">
            <v>NE 니제르</v>
          </cell>
        </row>
        <row r="161">
          <cell r="A161" t="str">
            <v>620 포르투칼</v>
          </cell>
          <cell r="B161" t="str">
            <v>NG 나이지리아</v>
          </cell>
        </row>
        <row r="162">
          <cell r="A162" t="str">
            <v>624 기니비사우</v>
          </cell>
          <cell r="B162" t="str">
            <v>NU 니우에</v>
          </cell>
        </row>
        <row r="163">
          <cell r="A163" t="str">
            <v>626 동티모</v>
          </cell>
          <cell r="B163" t="str">
            <v>NF 노폴크　이일랜드</v>
          </cell>
        </row>
        <row r="164">
          <cell r="A164" t="str">
            <v>630 푸에르토리코</v>
          </cell>
          <cell r="B164" t="str">
            <v>MP 북마리아나　군도</v>
          </cell>
        </row>
        <row r="165">
          <cell r="A165" t="str">
            <v>634 카타르</v>
          </cell>
          <cell r="B165" t="str">
            <v>NO 노르웨이</v>
          </cell>
        </row>
        <row r="166">
          <cell r="A166" t="str">
            <v>638 리유니온</v>
          </cell>
          <cell r="B166" t="str">
            <v>OM 오만</v>
          </cell>
        </row>
        <row r="167">
          <cell r="A167" t="str">
            <v>642 루마니아</v>
          </cell>
          <cell r="B167" t="str">
            <v>PK 파키스탄</v>
          </cell>
        </row>
        <row r="168">
          <cell r="A168" t="str">
            <v>646 르완다</v>
          </cell>
          <cell r="B168" t="str">
            <v>PW 팔라우</v>
          </cell>
        </row>
        <row r="169">
          <cell r="A169" t="str">
            <v>654 세인트헬레나도</v>
          </cell>
          <cell r="B169" t="str">
            <v>PA 파나마</v>
          </cell>
        </row>
        <row r="170">
          <cell r="A170" t="str">
            <v>658 앙길리아</v>
          </cell>
          <cell r="B170" t="str">
            <v>PZ 파나마　운하지역</v>
          </cell>
        </row>
        <row r="171">
          <cell r="A171" t="str">
            <v>662 세인트루시아</v>
          </cell>
          <cell r="B171" t="str">
            <v>PG 파푸아뉴기니</v>
          </cell>
        </row>
        <row r="172">
          <cell r="A172" t="str">
            <v>666 세인트피에러도미쾌론도</v>
          </cell>
          <cell r="B172" t="str">
            <v>PY 파라과이</v>
          </cell>
        </row>
        <row r="173">
          <cell r="A173" t="str">
            <v>670 세인트빈센트그레나딘</v>
          </cell>
          <cell r="B173" t="str">
            <v>PE 페루</v>
          </cell>
        </row>
        <row r="174">
          <cell r="A174" t="str">
            <v>674 산마리노</v>
          </cell>
          <cell r="B174" t="str">
            <v>PH 필리핀</v>
          </cell>
        </row>
        <row r="175">
          <cell r="A175" t="str">
            <v>678 상토메프린시페</v>
          </cell>
          <cell r="B175" t="str">
            <v>PN 피트카이른</v>
          </cell>
        </row>
        <row r="176">
          <cell r="A176" t="str">
            <v>682 사우디아라비아</v>
          </cell>
          <cell r="B176" t="str">
            <v>PO 팔레스타인　해방기구</v>
          </cell>
        </row>
        <row r="177">
          <cell r="A177" t="str">
            <v>686 세네갈</v>
          </cell>
          <cell r="B177" t="str">
            <v>PL 폴란드</v>
          </cell>
        </row>
        <row r="178">
          <cell r="A178" t="str">
            <v>690 세이쉘</v>
          </cell>
          <cell r="B178" t="str">
            <v>PS 사하라인민아랍공화국</v>
          </cell>
        </row>
        <row r="179">
          <cell r="A179" t="str">
            <v>694 시에라리온</v>
          </cell>
          <cell r="B179" t="str">
            <v>PT 포르투갈</v>
          </cell>
        </row>
        <row r="180">
          <cell r="A180" t="str">
            <v>702 싱가포르</v>
          </cell>
          <cell r="B180" t="str">
            <v>PR 푸에르토리코</v>
          </cell>
        </row>
        <row r="181">
          <cell r="A181" t="str">
            <v>704 베트남</v>
          </cell>
          <cell r="B181" t="str">
            <v>QA 카타르</v>
          </cell>
        </row>
        <row r="182">
          <cell r="A182" t="str">
            <v>706 소말리아</v>
          </cell>
          <cell r="B182" t="str">
            <v>RE 불령　리유니온，코모도제도</v>
          </cell>
        </row>
        <row r="183">
          <cell r="A183" t="str">
            <v>710 남아프리카</v>
          </cell>
          <cell r="B183" t="str">
            <v>RO 루마니아</v>
          </cell>
        </row>
        <row r="184">
          <cell r="A184" t="str">
            <v>716 짐바브웨</v>
          </cell>
          <cell r="B184" t="str">
            <v>RU 러시아연방</v>
          </cell>
        </row>
        <row r="185">
          <cell r="A185" t="str">
            <v>720 남예멘</v>
          </cell>
          <cell r="B185" t="str">
            <v>RW 루안다</v>
          </cell>
        </row>
        <row r="186">
          <cell r="A186" t="str">
            <v>722 토켈로</v>
          </cell>
          <cell r="B186" t="str">
            <v>WS 서사모아</v>
          </cell>
        </row>
        <row r="187">
          <cell r="A187" t="str">
            <v>724 스페인</v>
          </cell>
          <cell r="B187" t="str">
            <v>SH 세인트　헬레나</v>
          </cell>
        </row>
        <row r="188">
          <cell r="A188" t="str">
            <v>732 서사하라</v>
          </cell>
          <cell r="B188" t="str">
            <v>KN 세인트　키츠　네비스</v>
          </cell>
        </row>
        <row r="189">
          <cell r="A189" t="str">
            <v>736 수단</v>
          </cell>
          <cell r="B189" t="str">
            <v>LC 세인트　루시아</v>
          </cell>
        </row>
        <row r="190">
          <cell r="A190" t="str">
            <v>740 수리남</v>
          </cell>
          <cell r="B190" t="str">
            <v>SM 산마리노</v>
          </cell>
        </row>
        <row r="191">
          <cell r="A191" t="str">
            <v>744 스발바드잠마엔도</v>
          </cell>
          <cell r="B191" t="str">
            <v>ST 상토메　프린스페</v>
          </cell>
        </row>
        <row r="192">
          <cell r="A192" t="str">
            <v>748 스와질란드</v>
          </cell>
          <cell r="B192" t="str">
            <v>SA 사우디아라비아</v>
          </cell>
        </row>
        <row r="193">
          <cell r="A193" t="str">
            <v>752 스웨덴</v>
          </cell>
          <cell r="B193" t="str">
            <v>SN 세네갈</v>
          </cell>
        </row>
        <row r="194">
          <cell r="A194" t="str">
            <v>756 스위스</v>
          </cell>
          <cell r="B194" t="str">
            <v>SC 세이쉘</v>
          </cell>
        </row>
        <row r="195">
          <cell r="A195" t="str">
            <v>760 시리아</v>
          </cell>
          <cell r="B195" t="str">
            <v>SL 시에라　리온</v>
          </cell>
        </row>
        <row r="196">
          <cell r="A196" t="str">
            <v>764 태국</v>
          </cell>
          <cell r="B196" t="str">
            <v>SG 싱가포르</v>
          </cell>
        </row>
        <row r="197">
          <cell r="A197" t="str">
            <v>768 토고</v>
          </cell>
          <cell r="B197" t="str">
            <v>SK 슬로바키아　공화국</v>
          </cell>
        </row>
        <row r="198">
          <cell r="A198" t="str">
            <v>776 통가</v>
          </cell>
          <cell r="B198" t="str">
            <v>SI 슬로베니아</v>
          </cell>
        </row>
        <row r="199">
          <cell r="A199" t="str">
            <v>780 트리니다드토바고</v>
          </cell>
          <cell r="B199" t="str">
            <v>SB 솔로몬　군도</v>
          </cell>
        </row>
        <row r="200">
          <cell r="A200" t="str">
            <v>784 아랍에미리트연합국</v>
          </cell>
          <cell r="B200" t="str">
            <v>SO 소말리아</v>
          </cell>
        </row>
        <row r="201">
          <cell r="A201" t="str">
            <v>788 튀니지</v>
          </cell>
          <cell r="B201" t="str">
            <v>ZA 남아프리카</v>
          </cell>
        </row>
        <row r="202">
          <cell r="A202" t="str">
            <v>792 터키</v>
          </cell>
          <cell r="B202" t="str">
            <v>ES 스페인</v>
          </cell>
        </row>
        <row r="203">
          <cell r="A203" t="str">
            <v>796 터크스카이코스제도</v>
          </cell>
          <cell r="B203" t="str">
            <v>PM 세인트　피레　미켈론</v>
          </cell>
        </row>
        <row r="204">
          <cell r="A204" t="str">
            <v>798 투발루</v>
          </cell>
          <cell r="B204" t="str">
            <v>LK 스리랑카</v>
          </cell>
        </row>
        <row r="205">
          <cell r="A205" t="str">
            <v>800 우간다</v>
          </cell>
          <cell r="B205" t="str">
            <v>SD 수단</v>
          </cell>
        </row>
        <row r="206">
          <cell r="A206" t="str">
            <v>804 우크라이나</v>
          </cell>
          <cell r="B206" t="str">
            <v>SD 수단</v>
          </cell>
        </row>
        <row r="207">
          <cell r="A207" t="str">
            <v>810 러시아연합</v>
          </cell>
          <cell r="B207" t="str">
            <v>SR 수리남</v>
          </cell>
        </row>
        <row r="208">
          <cell r="A208" t="str">
            <v>818 이집트</v>
          </cell>
          <cell r="B208" t="str">
            <v>SJ 스발바드　군도</v>
          </cell>
        </row>
        <row r="209">
          <cell r="A209" t="str">
            <v>826 영국</v>
          </cell>
          <cell r="B209" t="str">
            <v>SZ 스와질랜드</v>
          </cell>
        </row>
        <row r="210">
          <cell r="A210" t="str">
            <v>834 탄자니아</v>
          </cell>
          <cell r="B210" t="str">
            <v>SE 스웨덴</v>
          </cell>
        </row>
        <row r="211">
          <cell r="A211" t="str">
            <v>840 미국</v>
          </cell>
          <cell r="B211" t="str">
            <v>CH 스위스</v>
          </cell>
        </row>
        <row r="212">
          <cell r="A212" t="str">
            <v>849 미국령태평양제도（폐지）</v>
          </cell>
          <cell r="B212" t="str">
            <v>SY 시리아</v>
          </cell>
        </row>
        <row r="213">
          <cell r="A213" t="str">
            <v>850 미국령버진제도</v>
          </cell>
          <cell r="B213" t="str">
            <v>TJ 타지크</v>
          </cell>
        </row>
        <row r="214">
          <cell r="A214" t="str">
            <v>854 오트볼타</v>
          </cell>
          <cell r="B214" t="str">
            <v>TZ 탄자니아</v>
          </cell>
        </row>
        <row r="215">
          <cell r="A215" t="str">
            <v>858 우르과이</v>
          </cell>
          <cell r="B215" t="str">
            <v>TH 태국</v>
          </cell>
        </row>
        <row r="216">
          <cell r="A216" t="str">
            <v>862 베네수엘라</v>
          </cell>
          <cell r="B216" t="str">
            <v>TG 토고</v>
          </cell>
        </row>
        <row r="217">
          <cell r="A217" t="str">
            <v>872 웨이크（폐지）</v>
          </cell>
          <cell r="B217" t="str">
            <v>TK 토켈라우</v>
          </cell>
        </row>
        <row r="218">
          <cell r="A218" t="str">
            <v>876 왈리푸투나제도</v>
          </cell>
          <cell r="B218" t="str">
            <v>TO 통가</v>
          </cell>
        </row>
        <row r="219">
          <cell r="A219" t="str">
            <v>882 서사모아</v>
          </cell>
          <cell r="B219" t="str">
            <v>TT 트리니나드　토바고</v>
          </cell>
        </row>
        <row r="220">
          <cell r="A220" t="str">
            <v>886 북예멘</v>
          </cell>
          <cell r="B220" t="str">
            <v>TN 튀니지</v>
          </cell>
        </row>
        <row r="221">
          <cell r="A221" t="str">
            <v>890 유고슬라비아</v>
          </cell>
          <cell r="B221" t="str">
            <v>TR 터키</v>
          </cell>
        </row>
        <row r="222">
          <cell r="A222" t="str">
            <v>894 잠비아</v>
          </cell>
          <cell r="B222" t="str">
            <v>TM 투르크맨</v>
          </cell>
        </row>
        <row r="223">
          <cell r="A223" t="str">
            <v>895 카자흐스탄</v>
          </cell>
          <cell r="B223" t="str">
            <v>TC 투르크＆카이코스　군도</v>
          </cell>
        </row>
        <row r="224">
          <cell r="A224" t="str">
            <v>896 아르메니아</v>
          </cell>
          <cell r="B224" t="str">
            <v>TV 투발루</v>
          </cell>
        </row>
        <row r="225">
          <cell r="A225" t="str">
            <v>897 아제르바이젠</v>
          </cell>
          <cell r="B225" t="str">
            <v>US 미국</v>
          </cell>
        </row>
        <row r="226">
          <cell r="A226" t="str">
            <v>898 에스토니아</v>
          </cell>
          <cell r="B226" t="str">
            <v>UG 우간다</v>
          </cell>
        </row>
        <row r="227">
          <cell r="A227" t="str">
            <v>899 조지아</v>
          </cell>
          <cell r="B227" t="str">
            <v>UA 우크라이나</v>
          </cell>
        </row>
        <row r="228">
          <cell r="A228" t="str">
            <v>900 키르기스탄</v>
          </cell>
          <cell r="B228" t="str">
            <v>AE 아랍에미르트　연합</v>
          </cell>
        </row>
        <row r="229">
          <cell r="A229" t="str">
            <v>901 라트비아</v>
          </cell>
          <cell r="B229" t="str">
            <v>GB 영국</v>
          </cell>
        </row>
        <row r="230">
          <cell r="A230" t="str">
            <v>902 리투아니아</v>
          </cell>
          <cell r="B230" t="str">
            <v>UM 마이너　아우틀링　합중국　군도</v>
          </cell>
        </row>
        <row r="231">
          <cell r="A231" t="str">
            <v>903 몰도바공화국</v>
          </cell>
          <cell r="B231" t="str">
            <v>UY 우루과이</v>
          </cell>
        </row>
        <row r="232">
          <cell r="A232" t="str">
            <v>904 타지키스탄</v>
          </cell>
          <cell r="B232" t="str">
            <v>UZ 우즈베크</v>
          </cell>
        </row>
        <row r="233">
          <cell r="A233" t="str">
            <v>905 투르크메니스탄</v>
          </cell>
          <cell r="B233" t="str">
            <v>VU 바누아투</v>
          </cell>
        </row>
        <row r="234">
          <cell r="A234" t="str">
            <v>906 우즈베키스탄</v>
          </cell>
          <cell r="B234" t="str">
            <v>VA 교황청</v>
          </cell>
        </row>
        <row r="235">
          <cell r="A235" t="str">
            <v>907 슬로바키아</v>
          </cell>
          <cell r="B235" t="str">
            <v>VE 베네수엘라</v>
          </cell>
        </row>
        <row r="236">
          <cell r="A236" t="str">
            <v>908 마이크로네시아연합</v>
          </cell>
          <cell r="B236" t="str">
            <v>VN 베트남</v>
          </cell>
        </row>
        <row r="237">
          <cell r="A237" t="str">
            <v>909 북마리아나제도</v>
          </cell>
          <cell r="B237" t="str">
            <v>VG 영령　버진군도</v>
          </cell>
        </row>
        <row r="238">
          <cell r="A238" t="str">
            <v>910 팔라우</v>
          </cell>
          <cell r="B238" t="str">
            <v>VI 미령　버진군도</v>
          </cell>
        </row>
        <row r="239">
          <cell r="A239" t="str">
            <v>911 미군소외곽제도</v>
          </cell>
          <cell r="B239" t="str">
            <v>WK 웨이크　아일랜드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외투제한"/>
      <sheetName val="CODE"/>
      <sheetName val="4"/>
      <sheetName val="4의2"/>
      <sheetName val="6"/>
      <sheetName val="6의3"/>
      <sheetName val="6의4"/>
      <sheetName val="7"/>
      <sheetName val="9"/>
      <sheetName val="10"/>
      <sheetName val="12"/>
      <sheetName val="13"/>
      <sheetName val="15"/>
      <sheetName val="16(1)"/>
      <sheetName val="16(2)"/>
      <sheetName val="16의2"/>
      <sheetName val="17"/>
      <sheetName val="18"/>
      <sheetName val="19"/>
      <sheetName val="20"/>
      <sheetName val="7의2"/>
      <sheetName val="7의3"/>
      <sheetName val="10의8"/>
      <sheetName val="10의9"/>
      <sheetName val="Summary"/>
      <sheetName val="BAR 1"/>
      <sheetName val="BAR 2"/>
      <sheetName val="BAR 3"/>
      <sheetName val="BAR 4"/>
      <sheetName val="BAR 5"/>
      <sheetName val="BAR 6"/>
      <sheetName val="BAR_1"/>
      <sheetName val="BAR_2"/>
      <sheetName val="BAR_3"/>
      <sheetName val="BAR_4"/>
      <sheetName val="BAR_5"/>
      <sheetName val="BAR_6"/>
      <sheetName val="BAR_11"/>
      <sheetName val="BAR_21"/>
      <sheetName val="BAR_31"/>
      <sheetName val="BAR_41"/>
      <sheetName val="BAR_51"/>
      <sheetName val="BAR_61"/>
      <sheetName val="BAR_12"/>
      <sheetName val="BAR_22"/>
      <sheetName val="BAR_32"/>
      <sheetName val="BAR_42"/>
      <sheetName val="BAR_52"/>
      <sheetName val="BAR_62"/>
      <sheetName val="BAR_13"/>
      <sheetName val="BAR_23"/>
      <sheetName val="BAR_33"/>
      <sheetName val="BAR_43"/>
      <sheetName val="BAR_53"/>
      <sheetName val="BAR_63"/>
    </sheetNames>
    <sheetDataSet>
      <sheetData sheetId="0"/>
      <sheetData sheetId="1" refreshError="1">
        <row r="2">
          <cell r="B2" t="str">
            <v>AF 아프카니스탄</v>
          </cell>
          <cell r="F2" t="str">
            <v>01: 매출(유형자산)</v>
          </cell>
        </row>
        <row r="3">
          <cell r="B3" t="str">
            <v>DZ 알제리</v>
          </cell>
          <cell r="F3" t="str">
            <v>04: 매출(금전대부)</v>
          </cell>
        </row>
        <row r="4">
          <cell r="B4" t="str">
            <v>AD 안도라</v>
          </cell>
          <cell r="F4" t="str">
            <v>05: 매출(기타)</v>
          </cell>
        </row>
        <row r="5">
          <cell r="B5" t="str">
            <v>AQ 안타티카</v>
          </cell>
          <cell r="F5" t="str">
            <v>06: 매입(유형자산)</v>
          </cell>
        </row>
        <row r="6">
          <cell r="B6" t="str">
            <v>AR 아르헨티나</v>
          </cell>
          <cell r="F6" t="str">
            <v>09: 매입(금전대부)</v>
          </cell>
        </row>
        <row r="7">
          <cell r="B7" t="str">
            <v>AU 호주</v>
          </cell>
          <cell r="F7" t="str">
            <v>10: 매입(기타)</v>
          </cell>
        </row>
        <row r="8">
          <cell r="B8" t="str">
            <v>AZ 아제르바이잔</v>
          </cell>
        </row>
        <row r="9">
          <cell r="B9" t="str">
            <v>BH 바레인</v>
          </cell>
        </row>
        <row r="10">
          <cell r="B10" t="str">
            <v>BB 바베이도스</v>
          </cell>
        </row>
        <row r="11">
          <cell r="B11" t="str">
            <v>BY 베라루스</v>
          </cell>
        </row>
        <row r="12">
          <cell r="B12" t="str">
            <v>BZ 벨리제</v>
          </cell>
        </row>
        <row r="13">
          <cell r="B13" t="str">
            <v>BM 버뮤다</v>
          </cell>
        </row>
        <row r="14">
          <cell r="B14" t="str">
            <v>BO 볼리비아</v>
          </cell>
        </row>
        <row r="15">
          <cell r="B15" t="str">
            <v>BW 보츠와나</v>
          </cell>
        </row>
        <row r="16">
          <cell r="B16" t="str">
            <v>BR 브라질</v>
          </cell>
        </row>
        <row r="17">
          <cell r="B17" t="str">
            <v>IO 영령　인도양</v>
          </cell>
        </row>
        <row r="18">
          <cell r="B18" t="str">
            <v>BG 불가리아</v>
          </cell>
        </row>
        <row r="19">
          <cell r="B19" t="str">
            <v>BI 부룬디</v>
          </cell>
        </row>
        <row r="20">
          <cell r="B20" t="str">
            <v>CM 카메룬</v>
          </cell>
        </row>
        <row r="21">
          <cell r="B21" t="str">
            <v>CT 캔톤　아일랜드</v>
          </cell>
        </row>
        <row r="22">
          <cell r="B22" t="str">
            <v>KY 영령　캐이만　군도</v>
          </cell>
        </row>
        <row r="23">
          <cell r="B23" t="str">
            <v>TD 챠드</v>
          </cell>
        </row>
        <row r="24">
          <cell r="B24" t="str">
            <v>CN 중국</v>
          </cell>
        </row>
        <row r="25">
          <cell r="B25" t="str">
            <v>CX 크리스마스　아일랜드</v>
          </cell>
        </row>
        <row r="26">
          <cell r="B26" t="str">
            <v>CO 콜롬비아</v>
          </cell>
        </row>
        <row r="27">
          <cell r="B27" t="str">
            <v>CG 콩고</v>
          </cell>
        </row>
        <row r="28">
          <cell r="B28" t="str">
            <v>CR 코스타리카</v>
          </cell>
        </row>
        <row r="29">
          <cell r="B29" t="str">
            <v>CU 쿠바</v>
          </cell>
        </row>
        <row r="30">
          <cell r="B30" t="str">
            <v>CZ 체코공화국</v>
          </cell>
        </row>
        <row r="31">
          <cell r="B31" t="str">
            <v>DJ 지부티</v>
          </cell>
        </row>
        <row r="32">
          <cell r="B32" t="str">
            <v>DO 도미니카공화국</v>
          </cell>
        </row>
        <row r="33">
          <cell r="B33" t="str">
            <v>TP 티모르</v>
          </cell>
        </row>
        <row r="34">
          <cell r="B34" t="str">
            <v>EG 이집트</v>
          </cell>
        </row>
        <row r="35">
          <cell r="B35" t="str">
            <v>GQ 적도　기니</v>
          </cell>
        </row>
        <row r="36">
          <cell r="B36" t="str">
            <v>EE 에스토니아</v>
          </cell>
        </row>
        <row r="37">
          <cell r="B37" t="str">
            <v>FO 파로에　군도</v>
          </cell>
        </row>
        <row r="38">
          <cell r="B38" t="str">
            <v>FJ 피지</v>
          </cell>
        </row>
        <row r="39">
          <cell r="B39" t="str">
            <v>FR 프랑스</v>
          </cell>
        </row>
        <row r="40">
          <cell r="B40" t="str">
            <v>PF 불령　폴리네시아</v>
          </cell>
        </row>
        <row r="41">
          <cell r="B41" t="str">
            <v>GA 가봉</v>
          </cell>
        </row>
        <row r="42">
          <cell r="B42" t="str">
            <v>GE 그루지야</v>
          </cell>
        </row>
        <row r="43">
          <cell r="B43" t="str">
            <v>GH 가나</v>
          </cell>
        </row>
        <row r="44">
          <cell r="B44" t="str">
            <v>GR 그리스</v>
          </cell>
        </row>
        <row r="45">
          <cell r="B45" t="str">
            <v>GD 그레나다</v>
          </cell>
        </row>
        <row r="46">
          <cell r="B46" t="str">
            <v>GU 괌</v>
          </cell>
        </row>
        <row r="47">
          <cell r="B47" t="str">
            <v>GN 기니</v>
          </cell>
        </row>
        <row r="48">
          <cell r="B48" t="str">
            <v>GY 가이아나</v>
          </cell>
        </row>
        <row r="49">
          <cell r="B49" t="str">
            <v>HM 허드　앤　맥도날드　군도</v>
          </cell>
        </row>
        <row r="50">
          <cell r="B50" t="str">
            <v>HK 홍콩</v>
          </cell>
        </row>
        <row r="51">
          <cell r="B51" t="str">
            <v>IS 아이슬란드</v>
          </cell>
        </row>
        <row r="52">
          <cell r="B52" t="str">
            <v>ID 인도네시아</v>
          </cell>
        </row>
        <row r="53">
          <cell r="B53" t="str">
            <v>IQ 이라크</v>
          </cell>
        </row>
        <row r="54">
          <cell r="B54" t="str">
            <v>IL 이스라엘</v>
          </cell>
        </row>
        <row r="55">
          <cell r="B55" t="str">
            <v>CI 코트디　봐르</v>
          </cell>
        </row>
        <row r="56">
          <cell r="B56" t="str">
            <v>JP 일본</v>
          </cell>
        </row>
        <row r="57">
          <cell r="B57" t="str">
            <v>JO 요르단</v>
          </cell>
        </row>
        <row r="58">
          <cell r="B58" t="str">
            <v>KE 케냐</v>
          </cell>
        </row>
        <row r="59">
          <cell r="B59" t="str">
            <v>KP 북한</v>
          </cell>
        </row>
        <row r="60">
          <cell r="B60" t="str">
            <v>KR 한국</v>
          </cell>
        </row>
        <row r="61">
          <cell r="B61" t="str">
            <v>KW 쿠웨이트</v>
          </cell>
        </row>
        <row r="62">
          <cell r="B62" t="str">
            <v>AL 알바니아</v>
          </cell>
        </row>
        <row r="63">
          <cell r="B63" t="str">
            <v>AS 아메리칸　사모아</v>
          </cell>
        </row>
        <row r="64">
          <cell r="B64" t="str">
            <v>AO 앙골라</v>
          </cell>
        </row>
        <row r="65">
          <cell r="B65" t="str">
            <v>AG 안티가　바부다</v>
          </cell>
        </row>
        <row r="66">
          <cell r="B66" t="str">
            <v>AM 아르메니아</v>
          </cell>
        </row>
        <row r="67">
          <cell r="B67" t="str">
            <v>AT 오스트리아</v>
          </cell>
        </row>
        <row r="68">
          <cell r="B68" t="str">
            <v>BS 바하마</v>
          </cell>
        </row>
        <row r="69">
          <cell r="B69" t="str">
            <v>BD 방글라데시</v>
          </cell>
        </row>
        <row r="70">
          <cell r="B70" t="str">
            <v>BY 베라루스</v>
          </cell>
        </row>
        <row r="71">
          <cell r="B71" t="str">
            <v>BE 벨기에</v>
          </cell>
        </row>
        <row r="72">
          <cell r="B72" t="str">
            <v>BJ 베닝</v>
          </cell>
        </row>
        <row r="73">
          <cell r="B73" t="str">
            <v>BT 부탄</v>
          </cell>
        </row>
        <row r="74">
          <cell r="B74" t="str">
            <v>BA 보스니아－헤르체고비나</v>
          </cell>
        </row>
        <row r="75">
          <cell r="B75" t="str">
            <v>BV 보빗　군도</v>
          </cell>
        </row>
        <row r="76">
          <cell r="B76" t="str">
            <v>BQ 영령　안탁</v>
          </cell>
        </row>
        <row r="77">
          <cell r="B77" t="str">
            <v>BN 브루나이</v>
          </cell>
        </row>
        <row r="78">
          <cell r="B78" t="str">
            <v>BF 부르키나　파소</v>
          </cell>
        </row>
        <row r="79">
          <cell r="B79" t="str">
            <v>KH 캄보디아</v>
          </cell>
        </row>
        <row r="80">
          <cell r="B80" t="str">
            <v>CA 카나다</v>
          </cell>
        </row>
        <row r="81">
          <cell r="B81" t="str">
            <v>CV 카보　베르데</v>
          </cell>
        </row>
        <row r="82">
          <cell r="B82" t="str">
            <v>CF 중앙아프리카</v>
          </cell>
        </row>
        <row r="83">
          <cell r="B83" t="str">
            <v>CL 칠레</v>
          </cell>
        </row>
        <row r="84">
          <cell r="B84" t="str">
            <v>TW 대만</v>
          </cell>
        </row>
        <row r="85">
          <cell r="B85" t="str">
            <v>CC 코코스　군도</v>
          </cell>
        </row>
        <row r="86">
          <cell r="B86" t="str">
            <v>KM 코모로스</v>
          </cell>
        </row>
        <row r="87">
          <cell r="B87" t="str">
            <v>CK 쿡　아일랜드</v>
          </cell>
        </row>
        <row r="88">
          <cell r="B88" t="str">
            <v>HR 크로아티아</v>
          </cell>
        </row>
        <row r="89">
          <cell r="B89" t="str">
            <v>CY 사이프러스</v>
          </cell>
        </row>
        <row r="90">
          <cell r="B90" t="str">
            <v>DK 덴마크</v>
          </cell>
        </row>
        <row r="91">
          <cell r="B91" t="str">
            <v>DM 도미니카연방</v>
          </cell>
        </row>
        <row r="92">
          <cell r="B92" t="str">
            <v>TP 티모르</v>
          </cell>
        </row>
        <row r="93">
          <cell r="B93" t="str">
            <v>EC 에쿠아도르</v>
          </cell>
        </row>
        <row r="94">
          <cell r="B94" t="str">
            <v>SV 엘살바도르</v>
          </cell>
        </row>
        <row r="95">
          <cell r="B95" t="str">
            <v>ER 에리트리아</v>
          </cell>
        </row>
        <row r="96">
          <cell r="B96" t="str">
            <v>ET 이디오피아</v>
          </cell>
        </row>
        <row r="97">
          <cell r="B97" t="str">
            <v>FK 포클랜드　군도</v>
          </cell>
        </row>
        <row r="98">
          <cell r="B98" t="str">
            <v>FI 핀란드</v>
          </cell>
        </row>
        <row r="99">
          <cell r="B99" t="str">
            <v>GF 불령　가이아나</v>
          </cell>
        </row>
        <row r="100">
          <cell r="B100" t="str">
            <v>TF 불령　남부지역</v>
          </cell>
        </row>
        <row r="101">
          <cell r="B101" t="str">
            <v>GM 감비아</v>
          </cell>
        </row>
        <row r="102">
          <cell r="B102" t="str">
            <v>DE 독일</v>
          </cell>
        </row>
        <row r="103">
          <cell r="B103" t="str">
            <v>GI 지브랄타</v>
          </cell>
        </row>
        <row r="104">
          <cell r="B104" t="str">
            <v>GL 그린랜드</v>
          </cell>
        </row>
        <row r="105">
          <cell r="B105" t="str">
            <v>GP 과델로프</v>
          </cell>
        </row>
        <row r="106">
          <cell r="B106" t="str">
            <v>GT 과테말라</v>
          </cell>
        </row>
        <row r="107">
          <cell r="B107" t="str">
            <v>GW 기네비소</v>
          </cell>
        </row>
        <row r="108">
          <cell r="B108" t="str">
            <v>HT 아이티</v>
          </cell>
        </row>
        <row r="109">
          <cell r="B109" t="str">
            <v>HN 온두라스</v>
          </cell>
        </row>
        <row r="110">
          <cell r="B110" t="str">
            <v>HU 헝가리</v>
          </cell>
        </row>
        <row r="111">
          <cell r="B111" t="str">
            <v>IN 인디아</v>
          </cell>
        </row>
        <row r="112">
          <cell r="B112" t="str">
            <v>IR 이란</v>
          </cell>
        </row>
        <row r="113">
          <cell r="B113" t="str">
            <v>IE 아일랜드</v>
          </cell>
        </row>
        <row r="114">
          <cell r="B114" t="str">
            <v>IT 이탈리아</v>
          </cell>
        </row>
        <row r="115">
          <cell r="B115" t="str">
            <v>JM 자마이카</v>
          </cell>
        </row>
        <row r="116">
          <cell r="B116" t="str">
            <v>JT 죤스톤　아일랜드</v>
          </cell>
        </row>
        <row r="117">
          <cell r="B117" t="str">
            <v>KZ 카자흐</v>
          </cell>
        </row>
        <row r="118">
          <cell r="B118" t="str">
            <v>KI 키리바티</v>
          </cell>
        </row>
        <row r="119">
          <cell r="B119" t="str">
            <v>KG 키르기스</v>
          </cell>
        </row>
        <row r="120">
          <cell r="B120" t="str">
            <v>LA 라오스</v>
          </cell>
        </row>
        <row r="121">
          <cell r="B121" t="str">
            <v>LV 라트비아</v>
          </cell>
        </row>
        <row r="122">
          <cell r="B122" t="str">
            <v>LB 레바논</v>
          </cell>
        </row>
        <row r="123">
          <cell r="B123" t="str">
            <v>LS 레소토</v>
          </cell>
        </row>
        <row r="124">
          <cell r="B124" t="str">
            <v>LR 라이베리아</v>
          </cell>
        </row>
        <row r="125">
          <cell r="B125" t="str">
            <v>LY 리비아</v>
          </cell>
        </row>
        <row r="126">
          <cell r="B126" t="str">
            <v>LI 리히텐슈타인</v>
          </cell>
        </row>
        <row r="127">
          <cell r="B127" t="str">
            <v>LT 리투아니아</v>
          </cell>
        </row>
        <row r="128">
          <cell r="B128" t="str">
            <v>LU 룩셈부르크</v>
          </cell>
        </row>
        <row r="129">
          <cell r="B129" t="str">
            <v>MO 마카오</v>
          </cell>
        </row>
        <row r="130">
          <cell r="B130" t="str">
            <v>YM 마세도니아</v>
          </cell>
        </row>
        <row r="131">
          <cell r="B131" t="str">
            <v>MG 마다가스카르</v>
          </cell>
        </row>
        <row r="132">
          <cell r="B132" t="str">
            <v>MW 말라위</v>
          </cell>
        </row>
        <row r="133">
          <cell r="B133" t="str">
            <v>MY 말레이지아</v>
          </cell>
        </row>
        <row r="134">
          <cell r="B134" t="str">
            <v>MV 몰디브</v>
          </cell>
        </row>
        <row r="135">
          <cell r="B135" t="str">
            <v>ML 말리</v>
          </cell>
        </row>
        <row r="136">
          <cell r="B136" t="str">
            <v>MT 몰타</v>
          </cell>
        </row>
        <row r="137">
          <cell r="B137" t="str">
            <v>MH 마샬　군도</v>
          </cell>
        </row>
        <row r="138">
          <cell r="B138" t="str">
            <v>MQ 마티니크</v>
          </cell>
        </row>
        <row r="139">
          <cell r="B139" t="str">
            <v>MR 모리타니</v>
          </cell>
        </row>
        <row r="140">
          <cell r="B140" t="str">
            <v>MU 모리셔스</v>
          </cell>
        </row>
        <row r="141">
          <cell r="B141" t="str">
            <v>MX 멕시코</v>
          </cell>
        </row>
        <row r="142">
          <cell r="B142" t="str">
            <v>FM 마이크로네시아</v>
          </cell>
        </row>
        <row r="143">
          <cell r="B143" t="str">
            <v>MI 미드웨이　군도</v>
          </cell>
        </row>
        <row r="144">
          <cell r="B144" t="str">
            <v>MD 몰도바</v>
          </cell>
        </row>
        <row r="145">
          <cell r="B145" t="str">
            <v>MC 모나코</v>
          </cell>
        </row>
        <row r="146">
          <cell r="B146" t="str">
            <v>MN 몽골</v>
          </cell>
        </row>
        <row r="147">
          <cell r="B147" t="str">
            <v>MS 몬트세라트</v>
          </cell>
        </row>
        <row r="148">
          <cell r="B148" t="str">
            <v>MA 모로코</v>
          </cell>
        </row>
        <row r="149">
          <cell r="B149" t="str">
            <v>MZ 모잠비크</v>
          </cell>
        </row>
        <row r="150">
          <cell r="B150" t="str">
            <v>MM 미얀마</v>
          </cell>
        </row>
        <row r="151">
          <cell r="B151" t="str">
            <v>NA 나미비아</v>
          </cell>
        </row>
        <row r="152">
          <cell r="B152" t="str">
            <v>NA 나미비아</v>
          </cell>
        </row>
        <row r="153">
          <cell r="B153" t="str">
            <v>NR 나우르</v>
          </cell>
        </row>
        <row r="154">
          <cell r="B154" t="str">
            <v>NP 네팔</v>
          </cell>
        </row>
        <row r="155">
          <cell r="B155" t="str">
            <v>NL 네덜란드</v>
          </cell>
        </row>
        <row r="156">
          <cell r="B156" t="str">
            <v>NT 중립지대</v>
          </cell>
        </row>
        <row r="157">
          <cell r="B157" t="str">
            <v>NC 뉴　칼레도니아</v>
          </cell>
        </row>
        <row r="158">
          <cell r="B158" t="str">
            <v>NZ 뉴질랜드</v>
          </cell>
        </row>
        <row r="159">
          <cell r="B159" t="str">
            <v>NI 니카라과</v>
          </cell>
        </row>
        <row r="160">
          <cell r="B160" t="str">
            <v>NE 니제르</v>
          </cell>
        </row>
        <row r="161">
          <cell r="B161" t="str">
            <v>NG 나이지리아</v>
          </cell>
        </row>
        <row r="162">
          <cell r="B162" t="str">
            <v>NU 니우에</v>
          </cell>
        </row>
        <row r="163">
          <cell r="B163" t="str">
            <v>NF 노폴크　이일랜드</v>
          </cell>
        </row>
        <row r="164">
          <cell r="B164" t="str">
            <v>MP 북마리아나　군도</v>
          </cell>
        </row>
        <row r="165">
          <cell r="B165" t="str">
            <v>NO 노르웨이</v>
          </cell>
        </row>
        <row r="166">
          <cell r="B166" t="str">
            <v>OM 오만</v>
          </cell>
        </row>
        <row r="167">
          <cell r="B167" t="str">
            <v>PK 파키스탄</v>
          </cell>
        </row>
        <row r="168">
          <cell r="B168" t="str">
            <v>PW 팔라우</v>
          </cell>
        </row>
        <row r="169">
          <cell r="B169" t="str">
            <v>PA 파나마</v>
          </cell>
        </row>
        <row r="170">
          <cell r="B170" t="str">
            <v>PZ 파나마　운하지역</v>
          </cell>
        </row>
        <row r="171">
          <cell r="B171" t="str">
            <v>PG 파푸아뉴기니</v>
          </cell>
        </row>
        <row r="172">
          <cell r="B172" t="str">
            <v>PY 파라과이</v>
          </cell>
        </row>
        <row r="173">
          <cell r="B173" t="str">
            <v>PE 페루</v>
          </cell>
        </row>
        <row r="174">
          <cell r="B174" t="str">
            <v>PH 필리핀</v>
          </cell>
        </row>
        <row r="175">
          <cell r="B175" t="str">
            <v>PN 피트카이른</v>
          </cell>
        </row>
        <row r="176">
          <cell r="B176" t="str">
            <v>PO 팔레스타인　해방기구</v>
          </cell>
        </row>
        <row r="177">
          <cell r="B177" t="str">
            <v>PL 폴란드</v>
          </cell>
        </row>
        <row r="178">
          <cell r="B178" t="str">
            <v>PS 사하라인민아랍공화국</v>
          </cell>
        </row>
        <row r="179">
          <cell r="B179" t="str">
            <v>PT 포르투갈</v>
          </cell>
        </row>
        <row r="180">
          <cell r="B180" t="str">
            <v>PR 푸에르토리코</v>
          </cell>
        </row>
        <row r="181">
          <cell r="B181" t="str">
            <v>QA 카타르</v>
          </cell>
        </row>
        <row r="182">
          <cell r="B182" t="str">
            <v>RE 불령　리유니온，코모도제도</v>
          </cell>
        </row>
        <row r="183">
          <cell r="B183" t="str">
            <v>RO 루마니아</v>
          </cell>
        </row>
        <row r="184">
          <cell r="B184" t="str">
            <v>RU 러시아연방</v>
          </cell>
        </row>
        <row r="185">
          <cell r="B185" t="str">
            <v>RW 루안다</v>
          </cell>
        </row>
        <row r="186">
          <cell r="B186" t="str">
            <v>WS 서사모아</v>
          </cell>
        </row>
        <row r="187">
          <cell r="B187" t="str">
            <v>SH 세인트　헬레나</v>
          </cell>
        </row>
        <row r="188">
          <cell r="B188" t="str">
            <v>KN 세인트　키츠　네비스</v>
          </cell>
        </row>
        <row r="189">
          <cell r="B189" t="str">
            <v>LC 세인트　루시아</v>
          </cell>
        </row>
        <row r="190">
          <cell r="B190" t="str">
            <v>SM 산마리노</v>
          </cell>
        </row>
        <row r="191">
          <cell r="B191" t="str">
            <v>ST 상토메　프린스페</v>
          </cell>
        </row>
        <row r="192">
          <cell r="B192" t="str">
            <v>SA 사우디아라비아</v>
          </cell>
        </row>
        <row r="193">
          <cell r="B193" t="str">
            <v>SN 세네갈</v>
          </cell>
        </row>
        <row r="194">
          <cell r="B194" t="str">
            <v>SC 세이쉘</v>
          </cell>
        </row>
        <row r="195">
          <cell r="B195" t="str">
            <v>SL 시에라　리온</v>
          </cell>
        </row>
        <row r="196">
          <cell r="B196" t="str">
            <v>SG 싱가포르</v>
          </cell>
        </row>
        <row r="197">
          <cell r="B197" t="str">
            <v>SK 슬로바키아　공화국</v>
          </cell>
        </row>
        <row r="198">
          <cell r="B198" t="str">
            <v>SI 슬로베니아</v>
          </cell>
        </row>
        <row r="199">
          <cell r="B199" t="str">
            <v>SB 솔로몬　군도</v>
          </cell>
        </row>
        <row r="200">
          <cell r="B200" t="str">
            <v>SO 소말리아</v>
          </cell>
        </row>
        <row r="201">
          <cell r="B201" t="str">
            <v>ZA 남아프리카</v>
          </cell>
        </row>
        <row r="202">
          <cell r="B202" t="str">
            <v>ES 스페인</v>
          </cell>
        </row>
        <row r="203">
          <cell r="B203" t="str">
            <v>PM 세인트　피레　미켈론</v>
          </cell>
        </row>
        <row r="204">
          <cell r="B204" t="str">
            <v>LK 스리랑카</v>
          </cell>
        </row>
        <row r="205">
          <cell r="B205" t="str">
            <v>SD 수단</v>
          </cell>
        </row>
        <row r="206">
          <cell r="B206" t="str">
            <v>SD 수단</v>
          </cell>
        </row>
        <row r="207">
          <cell r="B207" t="str">
            <v>SR 수리남</v>
          </cell>
        </row>
        <row r="208">
          <cell r="B208" t="str">
            <v>SJ 스발바드　군도</v>
          </cell>
        </row>
        <row r="209">
          <cell r="B209" t="str">
            <v>SZ 스와질랜드</v>
          </cell>
        </row>
        <row r="210">
          <cell r="B210" t="str">
            <v>SE 스웨덴</v>
          </cell>
        </row>
        <row r="211">
          <cell r="B211" t="str">
            <v>CH 스위스</v>
          </cell>
        </row>
        <row r="212">
          <cell r="B212" t="str">
            <v>SY 시리아</v>
          </cell>
        </row>
        <row r="213">
          <cell r="B213" t="str">
            <v>TJ 타지크</v>
          </cell>
        </row>
        <row r="214">
          <cell r="B214" t="str">
            <v>TZ 탄자니아</v>
          </cell>
        </row>
        <row r="215">
          <cell r="B215" t="str">
            <v>TH 태국</v>
          </cell>
        </row>
        <row r="216">
          <cell r="B216" t="str">
            <v>TG 토고</v>
          </cell>
        </row>
        <row r="217">
          <cell r="B217" t="str">
            <v>TK 토켈라우</v>
          </cell>
        </row>
        <row r="218">
          <cell r="B218" t="str">
            <v>TO 통가</v>
          </cell>
        </row>
        <row r="219">
          <cell r="B219" t="str">
            <v>TT 트리니나드　토바고</v>
          </cell>
        </row>
        <row r="220">
          <cell r="B220" t="str">
            <v>TN 튀니지</v>
          </cell>
        </row>
        <row r="221">
          <cell r="B221" t="str">
            <v>TR 터키</v>
          </cell>
        </row>
        <row r="222">
          <cell r="B222" t="str">
            <v>TM 투르크맨</v>
          </cell>
        </row>
        <row r="223">
          <cell r="B223" t="str">
            <v>TC 투르크＆카이코스　군도</v>
          </cell>
        </row>
        <row r="224">
          <cell r="B224" t="str">
            <v>TV 투발루</v>
          </cell>
        </row>
        <row r="225">
          <cell r="B225" t="str">
            <v>US 미국</v>
          </cell>
        </row>
        <row r="226">
          <cell r="B226" t="str">
            <v>UG 우간다</v>
          </cell>
        </row>
        <row r="227">
          <cell r="B227" t="str">
            <v>UA 우크라이나</v>
          </cell>
        </row>
        <row r="228">
          <cell r="B228" t="str">
            <v>AE 아랍에미르트　연합</v>
          </cell>
        </row>
        <row r="229">
          <cell r="B229" t="str">
            <v>GB 영국</v>
          </cell>
        </row>
        <row r="230">
          <cell r="B230" t="str">
            <v>UM 마이너　아우틀링　합중국　군도</v>
          </cell>
        </row>
        <row r="231">
          <cell r="B231" t="str">
            <v>UY 우루과이</v>
          </cell>
        </row>
        <row r="232">
          <cell r="B232" t="str">
            <v>UZ 우즈베크</v>
          </cell>
        </row>
        <row r="233">
          <cell r="B233" t="str">
            <v>VU 바누아투</v>
          </cell>
        </row>
        <row r="234">
          <cell r="B234" t="str">
            <v>VA 교황청</v>
          </cell>
        </row>
        <row r="235">
          <cell r="B235" t="str">
            <v>VE 베네수엘라</v>
          </cell>
        </row>
        <row r="236">
          <cell r="B236" t="str">
            <v>VN 베트남</v>
          </cell>
        </row>
        <row r="237">
          <cell r="B237" t="str">
            <v>VG 영령　버진군도</v>
          </cell>
        </row>
        <row r="238">
          <cell r="B238" t="str">
            <v>VI 미령　버진군도</v>
          </cell>
        </row>
        <row r="239">
          <cell r="B239" t="str">
            <v>WK 웨이크　아일랜드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98305-E0FF-4F70-8CDA-01979BE8E037}">
  <dimension ref="A1:IP190"/>
  <sheetViews>
    <sheetView view="pageBreakPreview" zoomScale="70" zoomScaleNormal="85" zoomScaleSheetLayoutView="70" workbookViewId="0">
      <selection activeCell="E16" sqref="E16"/>
    </sheetView>
  </sheetViews>
  <sheetFormatPr defaultColWidth="9.1796875" defaultRowHeight="17"/>
  <cols>
    <col min="1" max="1" width="15.7265625" style="36" customWidth="1"/>
    <col min="2" max="2" width="16.453125" style="38" bestFit="1" customWidth="1"/>
    <col min="3" max="3" width="15.7265625" style="38" customWidth="1"/>
    <col min="4" max="4" width="18.1796875" style="37" bestFit="1" customWidth="1"/>
    <col min="5" max="5" width="17.54296875" style="36" customWidth="1"/>
    <col min="6" max="16384" width="9.1796875" style="37"/>
  </cols>
  <sheetData>
    <row r="1" spans="1:250">
      <c r="B1" s="37"/>
    </row>
    <row r="2" spans="1:250">
      <c r="A2" s="28" t="s">
        <v>17</v>
      </c>
      <c r="B2" s="29" t="s">
        <v>5</v>
      </c>
      <c r="C2" s="30" t="s">
        <v>21</v>
      </c>
      <c r="D2" s="31" t="s">
        <v>7</v>
      </c>
      <c r="E2" s="31" t="s">
        <v>18</v>
      </c>
    </row>
    <row r="3" spans="1:250">
      <c r="A3" s="57" t="s">
        <v>194</v>
      </c>
      <c r="B3" s="58" t="s">
        <v>1</v>
      </c>
      <c r="C3" s="59">
        <f>COUNTIF($B$21:$B$190,B3)</f>
        <v>34</v>
      </c>
      <c r="D3" s="60">
        <f>SUMIFS($D$21:$D$190,$B$21:$B$190,B3)</f>
        <v>1005.1938999999999</v>
      </c>
      <c r="E3" s="58">
        <f>D3*32.1507</f>
        <v>32317.687520729996</v>
      </c>
    </row>
    <row r="4" spans="1:250">
      <c r="A4" s="57" t="s">
        <v>194</v>
      </c>
      <c r="B4" s="58" t="s">
        <v>2</v>
      </c>
      <c r="C4" s="59">
        <f>COUNTIF($B$21:$B$190,B4)</f>
        <v>34</v>
      </c>
      <c r="D4" s="60">
        <f>SUMIFS($D$21:$D$190,$B$21:$B$190,B4)</f>
        <v>1005.5213999999999</v>
      </c>
      <c r="E4" s="58">
        <f t="shared" ref="E4:E10" si="0">D4*32.1507</f>
        <v>32328.216874979997</v>
      </c>
    </row>
    <row r="5" spans="1:250">
      <c r="A5" s="57" t="s">
        <v>194</v>
      </c>
      <c r="B5" s="58" t="s">
        <v>15</v>
      </c>
      <c r="C5" s="59">
        <f>COUNTIF($B$21:$B$190,B5)</f>
        <v>34</v>
      </c>
      <c r="D5" s="60">
        <f>SUMIFS($D$21:$D$190,$B$21:$B$190,B5)</f>
        <v>1005.2383999999998</v>
      </c>
      <c r="E5" s="58">
        <f t="shared" si="0"/>
        <v>32319.118226879997</v>
      </c>
    </row>
    <row r="6" spans="1:250">
      <c r="A6" s="57" t="s">
        <v>194</v>
      </c>
      <c r="B6" s="58" t="s">
        <v>3</v>
      </c>
      <c r="C6" s="59">
        <f>COUNTIF($B$21:$B$190,B6)</f>
        <v>34</v>
      </c>
      <c r="D6" s="60">
        <f>SUMIFS($D$21:$D$190,$B$21:$B$190,B6)</f>
        <v>1004.7048000000002</v>
      </c>
      <c r="E6" s="58">
        <f t="shared" si="0"/>
        <v>32301.962613360007</v>
      </c>
    </row>
    <row r="7" spans="1:250" hidden="1">
      <c r="A7" s="57"/>
      <c r="B7" s="58"/>
      <c r="C7" s="59"/>
      <c r="D7" s="60"/>
      <c r="E7" s="58"/>
    </row>
    <row r="8" spans="1:250" hidden="1">
      <c r="A8" s="57"/>
      <c r="B8" s="58"/>
      <c r="C8" s="59"/>
      <c r="D8" s="60"/>
      <c r="E8" s="58"/>
    </row>
    <row r="9" spans="1:250" hidden="1">
      <c r="A9" s="57"/>
      <c r="B9" s="58"/>
      <c r="C9" s="59"/>
      <c r="D9" s="60"/>
      <c r="E9" s="58"/>
    </row>
    <row r="10" spans="1:250">
      <c r="A10" s="57" t="s">
        <v>194</v>
      </c>
      <c r="B10" s="58" t="s">
        <v>4</v>
      </c>
      <c r="C10" s="59">
        <f>COUNTIF($B$21:$B$190,B10)</f>
        <v>34</v>
      </c>
      <c r="D10" s="60">
        <f>SUMIFS($D$21:$D$190,$B$21:$B$190,B10)</f>
        <v>1004.4224999999999</v>
      </c>
      <c r="E10" s="58">
        <f t="shared" si="0"/>
        <v>32292.886470749996</v>
      </c>
    </row>
    <row r="11" spans="1:250">
      <c r="A11" s="29" t="s">
        <v>0</v>
      </c>
      <c r="B11" s="32">
        <f>COUNTA(B3:B10)</f>
        <v>5</v>
      </c>
      <c r="C11" s="32">
        <f>SUM(C3:C10)</f>
        <v>170</v>
      </c>
      <c r="D11" s="47">
        <f>SUM(D3:D10)</f>
        <v>5025.0809999999992</v>
      </c>
      <c r="E11" s="29">
        <f>SUM(E3:E10)</f>
        <v>161559.87170669998</v>
      </c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  <c r="EY11" s="36"/>
      <c r="EZ11" s="36"/>
      <c r="FA11" s="36"/>
      <c r="FB11" s="36"/>
      <c r="FC11" s="36"/>
      <c r="FD11" s="36"/>
      <c r="FE11" s="36"/>
      <c r="FF11" s="36"/>
      <c r="FG11" s="36"/>
      <c r="FH11" s="36"/>
      <c r="FI11" s="36"/>
      <c r="FJ11" s="36"/>
      <c r="FK11" s="36"/>
      <c r="FL11" s="36"/>
      <c r="FM11" s="36"/>
      <c r="FN11" s="36"/>
      <c r="FO11" s="36"/>
      <c r="FP11" s="36"/>
      <c r="FQ11" s="36"/>
      <c r="FR11" s="36"/>
      <c r="FS11" s="36"/>
      <c r="FT11" s="36"/>
      <c r="FU11" s="36"/>
      <c r="FV11" s="36"/>
      <c r="FW11" s="36"/>
      <c r="FX11" s="36"/>
      <c r="FY11" s="36"/>
      <c r="FZ11" s="36"/>
      <c r="GA11" s="36"/>
      <c r="GB11" s="36"/>
      <c r="GC11" s="36"/>
      <c r="GD11" s="36"/>
      <c r="GE11" s="36"/>
      <c r="GF11" s="36"/>
      <c r="GG11" s="36"/>
      <c r="GH11" s="36"/>
      <c r="GI11" s="36"/>
      <c r="GJ11" s="36"/>
      <c r="GK11" s="36"/>
      <c r="GL11" s="36"/>
      <c r="GM11" s="36"/>
      <c r="GN11" s="36"/>
      <c r="GO11" s="36"/>
      <c r="GP11" s="36"/>
      <c r="GQ11" s="36"/>
      <c r="GR11" s="36"/>
      <c r="GS11" s="36"/>
      <c r="GT11" s="36"/>
      <c r="GU11" s="36"/>
      <c r="GV11" s="36"/>
      <c r="GW11" s="36"/>
      <c r="GX11" s="36"/>
      <c r="GY11" s="36"/>
      <c r="GZ11" s="36"/>
      <c r="HA11" s="36"/>
      <c r="HB11" s="36"/>
      <c r="HC11" s="36"/>
      <c r="HD11" s="36"/>
      <c r="HE11" s="36"/>
      <c r="HF11" s="36"/>
      <c r="HG11" s="36"/>
      <c r="HH11" s="36"/>
      <c r="HI11" s="36"/>
      <c r="HJ11" s="36"/>
      <c r="HK11" s="36"/>
      <c r="HL11" s="36"/>
      <c r="HM11" s="36"/>
      <c r="HN11" s="36"/>
      <c r="HO11" s="36"/>
      <c r="HP11" s="36"/>
      <c r="HQ11" s="36"/>
      <c r="HR11" s="36"/>
      <c r="HS11" s="36"/>
      <c r="HT11" s="36"/>
      <c r="HU11" s="36"/>
      <c r="HV11" s="36"/>
      <c r="HW11" s="36"/>
      <c r="HX11" s="36"/>
      <c r="HY11" s="36"/>
      <c r="HZ11" s="36"/>
      <c r="IA11" s="36"/>
      <c r="IB11" s="36"/>
      <c r="IC11" s="36"/>
      <c r="ID11" s="36"/>
      <c r="IE11" s="36"/>
      <c r="IF11" s="36"/>
      <c r="IG11" s="36"/>
      <c r="IH11" s="36"/>
      <c r="II11" s="36"/>
      <c r="IJ11" s="36"/>
      <c r="IK11" s="36"/>
      <c r="IL11" s="36"/>
      <c r="IM11" s="36"/>
      <c r="IN11" s="36"/>
      <c r="IO11" s="36"/>
      <c r="IP11" s="36"/>
    </row>
    <row r="12" spans="1:250">
      <c r="B12" s="36"/>
      <c r="E12" s="37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  <c r="EY12" s="36"/>
      <c r="EZ12" s="36"/>
      <c r="FA12" s="36"/>
      <c r="FB12" s="36"/>
      <c r="FC12" s="36"/>
      <c r="FD12" s="36"/>
      <c r="FE12" s="36"/>
      <c r="FF12" s="36"/>
      <c r="FG12" s="36"/>
      <c r="FH12" s="36"/>
      <c r="FI12" s="36"/>
      <c r="FJ12" s="36"/>
      <c r="FK12" s="36"/>
      <c r="FL12" s="36"/>
      <c r="FM12" s="36"/>
      <c r="FN12" s="36"/>
      <c r="FO12" s="36"/>
      <c r="FP12" s="36"/>
      <c r="FQ12" s="36"/>
      <c r="FR12" s="36"/>
      <c r="FS12" s="36"/>
      <c r="FT12" s="36"/>
      <c r="FU12" s="36"/>
      <c r="FV12" s="36"/>
      <c r="FW12" s="36"/>
      <c r="FX12" s="36"/>
      <c r="FY12" s="36"/>
      <c r="FZ12" s="36"/>
      <c r="GA12" s="36"/>
      <c r="GB12" s="36"/>
      <c r="GC12" s="36"/>
      <c r="GD12" s="36"/>
      <c r="GE12" s="36"/>
      <c r="GF12" s="36"/>
      <c r="GG12" s="36"/>
      <c r="GH12" s="36"/>
      <c r="GI12" s="36"/>
      <c r="GJ12" s="36"/>
      <c r="GK12" s="36"/>
      <c r="GL12" s="36"/>
      <c r="GM12" s="36"/>
      <c r="GN12" s="36"/>
      <c r="GO12" s="36"/>
      <c r="GP12" s="36"/>
      <c r="GQ12" s="36"/>
      <c r="GR12" s="36"/>
      <c r="GS12" s="36"/>
      <c r="GT12" s="36"/>
      <c r="GU12" s="36"/>
      <c r="GV12" s="36"/>
      <c r="GW12" s="36"/>
      <c r="GX12" s="36"/>
      <c r="GY12" s="36"/>
      <c r="GZ12" s="36"/>
      <c r="HA12" s="36"/>
      <c r="HB12" s="36"/>
      <c r="HC12" s="36"/>
      <c r="HD12" s="36"/>
      <c r="HE12" s="36"/>
      <c r="HF12" s="36"/>
      <c r="HG12" s="36"/>
      <c r="HH12" s="36"/>
      <c r="HI12" s="36"/>
      <c r="HJ12" s="36"/>
      <c r="HK12" s="36"/>
      <c r="HL12" s="36"/>
      <c r="HM12" s="36"/>
      <c r="HN12" s="36"/>
      <c r="HO12" s="36"/>
      <c r="HP12" s="36"/>
      <c r="HQ12" s="36"/>
      <c r="HR12" s="36"/>
      <c r="HS12" s="36"/>
      <c r="HT12" s="36"/>
      <c r="HU12" s="36"/>
      <c r="HV12" s="36"/>
      <c r="HW12" s="36"/>
      <c r="HX12" s="36"/>
      <c r="HY12" s="36"/>
      <c r="HZ12" s="36"/>
      <c r="IA12" s="36"/>
      <c r="IB12" s="36"/>
      <c r="IC12" s="36"/>
      <c r="ID12" s="36"/>
      <c r="IE12" s="36"/>
      <c r="IF12" s="36"/>
      <c r="IG12" s="36"/>
      <c r="IH12" s="36"/>
      <c r="II12" s="36"/>
      <c r="IJ12" s="36"/>
      <c r="IK12" s="36"/>
      <c r="IL12" s="36"/>
      <c r="IM12" s="36"/>
      <c r="IN12" s="36"/>
      <c r="IO12" s="36"/>
      <c r="IP12" s="36"/>
    </row>
    <row r="13" spans="1:250">
      <c r="B13" s="36"/>
      <c r="E13" s="37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  <c r="HD13" s="36"/>
      <c r="HE13" s="36"/>
      <c r="HF13" s="36"/>
      <c r="HG13" s="36"/>
      <c r="HH13" s="36"/>
      <c r="HI13" s="36"/>
      <c r="HJ13" s="36"/>
      <c r="HK13" s="36"/>
      <c r="HL13" s="36"/>
      <c r="HM13" s="36"/>
      <c r="HN13" s="36"/>
      <c r="HO13" s="36"/>
      <c r="HP13" s="36"/>
      <c r="HQ13" s="36"/>
      <c r="HR13" s="36"/>
      <c r="HS13" s="36"/>
      <c r="HT13" s="36"/>
      <c r="HU13" s="36"/>
      <c r="HV13" s="36"/>
      <c r="HW13" s="36"/>
      <c r="HX13" s="36"/>
      <c r="HY13" s="36"/>
      <c r="HZ13" s="36"/>
      <c r="IA13" s="36"/>
      <c r="IB13" s="36"/>
      <c r="IC13" s="36"/>
      <c r="ID13" s="36"/>
      <c r="IE13" s="36"/>
      <c r="IF13" s="36"/>
      <c r="IG13" s="36"/>
      <c r="IH13" s="36"/>
      <c r="II13" s="36"/>
      <c r="IJ13" s="36"/>
      <c r="IK13" s="36"/>
      <c r="IL13" s="36"/>
      <c r="IM13" s="36"/>
      <c r="IN13" s="36"/>
      <c r="IO13" s="36"/>
      <c r="IP13" s="36"/>
    </row>
    <row r="14" spans="1:250">
      <c r="A14" s="28" t="s">
        <v>9</v>
      </c>
      <c r="B14" s="40" t="s">
        <v>13</v>
      </c>
      <c r="E14" s="37"/>
    </row>
    <row r="15" spans="1:250">
      <c r="A15" s="28" t="s">
        <v>10</v>
      </c>
      <c r="B15" s="40" t="s">
        <v>22</v>
      </c>
      <c r="E15" s="37"/>
    </row>
    <row r="16" spans="1:250">
      <c r="A16" s="28" t="s">
        <v>8</v>
      </c>
      <c r="B16" s="41" t="s">
        <v>195</v>
      </c>
      <c r="E16" s="37"/>
    </row>
    <row r="17" spans="1:250">
      <c r="A17" s="28" t="s">
        <v>11</v>
      </c>
      <c r="B17" s="42" t="s">
        <v>23</v>
      </c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6"/>
      <c r="BU17" s="36"/>
      <c r="BV17" s="36"/>
      <c r="BW17" s="36"/>
      <c r="BX17" s="36"/>
      <c r="BY17" s="36"/>
      <c r="BZ17" s="36"/>
      <c r="CA17" s="36"/>
      <c r="CB17" s="36"/>
      <c r="CC17" s="36"/>
      <c r="CD17" s="36"/>
      <c r="CE17" s="36"/>
      <c r="CF17" s="36"/>
      <c r="CG17" s="36"/>
      <c r="CH17" s="36"/>
      <c r="CI17" s="36"/>
      <c r="CJ17" s="36"/>
      <c r="CK17" s="36"/>
      <c r="CL17" s="36"/>
      <c r="CM17" s="36"/>
      <c r="CN17" s="36"/>
      <c r="CO17" s="36"/>
      <c r="CP17" s="36"/>
      <c r="CQ17" s="36"/>
      <c r="CR17" s="36"/>
      <c r="CS17" s="36"/>
      <c r="CT17" s="36"/>
      <c r="CU17" s="36"/>
      <c r="CV17" s="36"/>
      <c r="CW17" s="36"/>
      <c r="CX17" s="36"/>
      <c r="CY17" s="36"/>
      <c r="CZ17" s="36"/>
      <c r="DA17" s="36"/>
      <c r="DB17" s="36"/>
      <c r="DC17" s="36"/>
      <c r="DD17" s="36"/>
      <c r="DE17" s="36"/>
      <c r="DF17" s="36"/>
      <c r="DG17" s="36"/>
      <c r="DH17" s="36"/>
      <c r="DI17" s="36"/>
      <c r="DJ17" s="36"/>
      <c r="DK17" s="36"/>
      <c r="DL17" s="36"/>
      <c r="DM17" s="36"/>
      <c r="DN17" s="36"/>
      <c r="DO17" s="36"/>
      <c r="DP17" s="36"/>
      <c r="DQ17" s="36"/>
      <c r="DR17" s="36"/>
      <c r="DS17" s="36"/>
      <c r="DT17" s="36"/>
      <c r="DU17" s="36"/>
      <c r="DV17" s="36"/>
      <c r="DW17" s="36"/>
      <c r="DX17" s="36"/>
      <c r="DY17" s="36"/>
      <c r="DZ17" s="36"/>
      <c r="EA17" s="36"/>
      <c r="EB17" s="36"/>
      <c r="EC17" s="36"/>
      <c r="ED17" s="36"/>
      <c r="EE17" s="36"/>
      <c r="EF17" s="36"/>
      <c r="EG17" s="36"/>
      <c r="EH17" s="36"/>
      <c r="EI17" s="36"/>
      <c r="EJ17" s="36"/>
      <c r="EK17" s="36"/>
      <c r="EL17" s="36"/>
      <c r="EM17" s="36"/>
      <c r="EN17" s="36"/>
      <c r="EO17" s="36"/>
      <c r="EP17" s="36"/>
      <c r="EQ17" s="36"/>
      <c r="ER17" s="36"/>
      <c r="ES17" s="36"/>
      <c r="ET17" s="36"/>
      <c r="EU17" s="36"/>
      <c r="EV17" s="36"/>
      <c r="EW17" s="36"/>
      <c r="EX17" s="36"/>
      <c r="EY17" s="36"/>
      <c r="EZ17" s="36"/>
      <c r="FA17" s="36"/>
      <c r="FB17" s="36"/>
      <c r="FC17" s="36"/>
      <c r="FD17" s="36"/>
      <c r="FE17" s="36"/>
      <c r="FF17" s="36"/>
      <c r="FG17" s="36"/>
      <c r="FH17" s="36"/>
      <c r="FI17" s="36"/>
      <c r="FJ17" s="36"/>
      <c r="FK17" s="36"/>
      <c r="FL17" s="36"/>
      <c r="FM17" s="36"/>
      <c r="FN17" s="36"/>
      <c r="FO17" s="36"/>
      <c r="FP17" s="36"/>
      <c r="FQ17" s="36"/>
      <c r="FR17" s="36"/>
      <c r="FS17" s="36"/>
      <c r="FT17" s="36"/>
      <c r="FU17" s="36"/>
      <c r="FV17" s="36"/>
      <c r="FW17" s="36"/>
      <c r="FX17" s="36"/>
      <c r="FY17" s="36"/>
      <c r="FZ17" s="36"/>
      <c r="GA17" s="36"/>
      <c r="GB17" s="36"/>
      <c r="GC17" s="36"/>
      <c r="GD17" s="36"/>
      <c r="GE17" s="36"/>
      <c r="GF17" s="36"/>
      <c r="GG17" s="36"/>
      <c r="GH17" s="36"/>
      <c r="GI17" s="36"/>
      <c r="GJ17" s="36"/>
      <c r="GK17" s="36"/>
      <c r="GL17" s="36"/>
      <c r="GM17" s="36"/>
      <c r="GN17" s="36"/>
      <c r="GO17" s="36"/>
      <c r="GP17" s="36"/>
      <c r="GQ17" s="36"/>
      <c r="GR17" s="36"/>
      <c r="GS17" s="36"/>
      <c r="GT17" s="36"/>
      <c r="GU17" s="36"/>
      <c r="GV17" s="36"/>
      <c r="GW17" s="36"/>
      <c r="GX17" s="36"/>
      <c r="GY17" s="36"/>
      <c r="GZ17" s="36"/>
      <c r="HA17" s="36"/>
      <c r="HB17" s="36"/>
      <c r="HC17" s="36"/>
      <c r="HD17" s="36"/>
      <c r="HE17" s="36"/>
      <c r="HF17" s="36"/>
      <c r="HG17" s="36"/>
      <c r="HH17" s="36"/>
      <c r="HI17" s="36"/>
      <c r="HJ17" s="36"/>
      <c r="HK17" s="36"/>
      <c r="HL17" s="36"/>
      <c r="HM17" s="36"/>
      <c r="HN17" s="36"/>
      <c r="HO17" s="36"/>
      <c r="HP17" s="36"/>
      <c r="HQ17" s="36"/>
      <c r="HR17" s="36"/>
      <c r="HS17" s="36"/>
      <c r="HT17" s="36"/>
      <c r="HU17" s="36"/>
      <c r="HV17" s="36"/>
      <c r="HW17" s="36"/>
      <c r="HX17" s="36"/>
      <c r="HY17" s="36"/>
      <c r="HZ17" s="36"/>
      <c r="IA17" s="36"/>
      <c r="IB17" s="36"/>
      <c r="IC17" s="36"/>
      <c r="ID17" s="36"/>
      <c r="IE17" s="36"/>
      <c r="IF17" s="36"/>
      <c r="IG17" s="36"/>
      <c r="IH17" s="36"/>
      <c r="II17" s="36"/>
      <c r="IJ17" s="36"/>
      <c r="IK17" s="36"/>
      <c r="IL17" s="36"/>
      <c r="IM17" s="36"/>
      <c r="IN17" s="36"/>
      <c r="IO17" s="36"/>
      <c r="IP17" s="36"/>
    </row>
    <row r="18" spans="1:250">
      <c r="B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6"/>
      <c r="BK18" s="36"/>
      <c r="BL18" s="36"/>
      <c r="BM18" s="36"/>
      <c r="BN18" s="36"/>
      <c r="BO18" s="36"/>
      <c r="BP18" s="36"/>
      <c r="BQ18" s="36"/>
      <c r="BR18" s="36"/>
      <c r="BS18" s="36"/>
      <c r="BT18" s="36"/>
      <c r="BU18" s="36"/>
      <c r="BV18" s="36"/>
      <c r="BW18" s="36"/>
      <c r="BX18" s="36"/>
      <c r="BY18" s="36"/>
      <c r="BZ18" s="36"/>
      <c r="CA18" s="36"/>
      <c r="CB18" s="36"/>
      <c r="CC18" s="36"/>
      <c r="CD18" s="36"/>
      <c r="CE18" s="36"/>
      <c r="CF18" s="36"/>
      <c r="CG18" s="36"/>
      <c r="CH18" s="36"/>
      <c r="CI18" s="36"/>
      <c r="CJ18" s="36"/>
      <c r="CK18" s="36"/>
      <c r="CL18" s="36"/>
      <c r="CM18" s="36"/>
      <c r="CN18" s="36"/>
      <c r="CO18" s="36"/>
      <c r="CP18" s="36"/>
      <c r="CQ18" s="36"/>
      <c r="CR18" s="36"/>
      <c r="CS18" s="36"/>
      <c r="CT18" s="36"/>
      <c r="CU18" s="36"/>
      <c r="CV18" s="36"/>
      <c r="CW18" s="36"/>
      <c r="CX18" s="36"/>
      <c r="CY18" s="36"/>
      <c r="CZ18" s="36"/>
      <c r="DA18" s="36"/>
      <c r="DB18" s="36"/>
      <c r="DC18" s="36"/>
      <c r="DD18" s="36"/>
      <c r="DE18" s="36"/>
      <c r="DF18" s="36"/>
      <c r="DG18" s="36"/>
      <c r="DH18" s="36"/>
      <c r="DI18" s="36"/>
      <c r="DJ18" s="36"/>
      <c r="DK18" s="36"/>
      <c r="DL18" s="36"/>
      <c r="DM18" s="36"/>
      <c r="DN18" s="36"/>
      <c r="DO18" s="36"/>
      <c r="DP18" s="36"/>
      <c r="DQ18" s="36"/>
      <c r="DR18" s="36"/>
      <c r="DS18" s="36"/>
      <c r="DT18" s="36"/>
      <c r="DU18" s="36"/>
      <c r="DV18" s="36"/>
      <c r="DW18" s="36"/>
      <c r="DX18" s="36"/>
      <c r="DY18" s="36"/>
      <c r="DZ18" s="36"/>
      <c r="EA18" s="36"/>
      <c r="EB18" s="36"/>
      <c r="EC18" s="36"/>
      <c r="ED18" s="36"/>
      <c r="EE18" s="36"/>
      <c r="EF18" s="36"/>
      <c r="EG18" s="36"/>
      <c r="EH18" s="36"/>
      <c r="EI18" s="36"/>
      <c r="EJ18" s="36"/>
      <c r="EK18" s="36"/>
      <c r="EL18" s="36"/>
      <c r="EM18" s="36"/>
      <c r="EN18" s="36"/>
      <c r="EO18" s="36"/>
      <c r="EP18" s="36"/>
      <c r="EQ18" s="36"/>
      <c r="ER18" s="36"/>
      <c r="ES18" s="36"/>
      <c r="ET18" s="36"/>
      <c r="EU18" s="36"/>
      <c r="EV18" s="36"/>
      <c r="EW18" s="36"/>
      <c r="EX18" s="36"/>
      <c r="EY18" s="36"/>
      <c r="EZ18" s="36"/>
      <c r="FA18" s="36"/>
      <c r="FB18" s="36"/>
      <c r="FC18" s="36"/>
      <c r="FD18" s="36"/>
      <c r="FE18" s="36"/>
      <c r="FF18" s="36"/>
      <c r="FG18" s="36"/>
      <c r="FH18" s="36"/>
      <c r="FI18" s="36"/>
      <c r="FJ18" s="36"/>
      <c r="FK18" s="36"/>
      <c r="FL18" s="36"/>
      <c r="FM18" s="36"/>
      <c r="FN18" s="36"/>
      <c r="FO18" s="36"/>
      <c r="FP18" s="36"/>
      <c r="FQ18" s="36"/>
      <c r="FR18" s="36"/>
      <c r="FS18" s="36"/>
      <c r="FT18" s="36"/>
      <c r="FU18" s="36"/>
      <c r="FV18" s="36"/>
      <c r="FW18" s="36"/>
      <c r="FX18" s="36"/>
      <c r="FY18" s="36"/>
      <c r="FZ18" s="36"/>
      <c r="GA18" s="36"/>
      <c r="GB18" s="36"/>
      <c r="GC18" s="36"/>
      <c r="GD18" s="36"/>
      <c r="GE18" s="36"/>
      <c r="GF18" s="36"/>
      <c r="GG18" s="36"/>
      <c r="GH18" s="36"/>
      <c r="GI18" s="36"/>
      <c r="GJ18" s="36"/>
      <c r="GK18" s="36"/>
      <c r="GL18" s="36"/>
      <c r="GM18" s="36"/>
      <c r="GN18" s="36"/>
      <c r="GO18" s="36"/>
      <c r="GP18" s="36"/>
      <c r="GQ18" s="36"/>
      <c r="GR18" s="36"/>
      <c r="GS18" s="36"/>
      <c r="GT18" s="36"/>
      <c r="GU18" s="36"/>
      <c r="GV18" s="36"/>
      <c r="GW18" s="36"/>
      <c r="GX18" s="36"/>
      <c r="GY18" s="36"/>
      <c r="GZ18" s="36"/>
      <c r="HA18" s="36"/>
      <c r="HB18" s="36"/>
      <c r="HC18" s="36"/>
      <c r="HD18" s="36"/>
      <c r="HE18" s="36"/>
      <c r="HF18" s="36"/>
      <c r="HG18" s="36"/>
      <c r="HH18" s="36"/>
      <c r="HI18" s="36"/>
      <c r="HJ18" s="36"/>
      <c r="HK18" s="36"/>
      <c r="HL18" s="36"/>
      <c r="HM18" s="36"/>
      <c r="HN18" s="36"/>
      <c r="HO18" s="36"/>
      <c r="HP18" s="36"/>
      <c r="HQ18" s="36"/>
      <c r="HR18" s="36"/>
      <c r="HS18" s="36"/>
      <c r="HT18" s="36"/>
      <c r="HU18" s="36"/>
      <c r="HV18" s="36"/>
      <c r="HW18" s="36"/>
      <c r="HX18" s="36"/>
      <c r="HY18" s="36"/>
      <c r="HZ18" s="36"/>
      <c r="IA18" s="36"/>
      <c r="IB18" s="36"/>
      <c r="IC18" s="36"/>
      <c r="ID18" s="36"/>
      <c r="IE18" s="36"/>
      <c r="IF18" s="36"/>
      <c r="IG18" s="36"/>
      <c r="IH18" s="36"/>
      <c r="II18" s="36"/>
      <c r="IJ18" s="36"/>
      <c r="IK18" s="36"/>
      <c r="IL18" s="36"/>
      <c r="IM18" s="36"/>
      <c r="IN18" s="36"/>
      <c r="IO18" s="36"/>
      <c r="IP18" s="36"/>
    </row>
    <row r="19" spans="1:250">
      <c r="B19" s="36"/>
      <c r="E19" s="37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/>
      <c r="BK19" s="36"/>
      <c r="BL19" s="36"/>
      <c r="BM19" s="36"/>
      <c r="BN19" s="36"/>
      <c r="BO19" s="36"/>
      <c r="BP19" s="36"/>
      <c r="BQ19" s="36"/>
      <c r="BR19" s="36"/>
      <c r="BS19" s="36"/>
      <c r="BT19" s="36"/>
      <c r="BU19" s="36"/>
      <c r="BV19" s="36"/>
      <c r="BW19" s="36"/>
      <c r="BX19" s="36"/>
      <c r="BY19" s="36"/>
      <c r="BZ19" s="36"/>
      <c r="CA19" s="36"/>
      <c r="CB19" s="36"/>
      <c r="CC19" s="36"/>
      <c r="CD19" s="36"/>
      <c r="CE19" s="36"/>
      <c r="CF19" s="36"/>
      <c r="CG19" s="36"/>
      <c r="CH19" s="36"/>
      <c r="CI19" s="36"/>
      <c r="CJ19" s="36"/>
      <c r="CK19" s="36"/>
      <c r="CL19" s="36"/>
      <c r="CM19" s="36"/>
      <c r="CN19" s="36"/>
      <c r="CO19" s="36"/>
      <c r="CP19" s="36"/>
      <c r="CQ19" s="36"/>
      <c r="CR19" s="36"/>
      <c r="CS19" s="36"/>
      <c r="CT19" s="36"/>
      <c r="CU19" s="36"/>
      <c r="CV19" s="36"/>
      <c r="CW19" s="36"/>
      <c r="CX19" s="36"/>
      <c r="CY19" s="36"/>
      <c r="CZ19" s="36"/>
      <c r="DA19" s="36"/>
      <c r="DB19" s="36"/>
      <c r="DC19" s="36"/>
      <c r="DD19" s="36"/>
      <c r="DE19" s="36"/>
      <c r="DF19" s="36"/>
      <c r="DG19" s="36"/>
      <c r="DH19" s="36"/>
      <c r="DI19" s="36"/>
      <c r="DJ19" s="36"/>
      <c r="DK19" s="36"/>
      <c r="DL19" s="36"/>
      <c r="DM19" s="36"/>
      <c r="DN19" s="36"/>
      <c r="DO19" s="36"/>
      <c r="DP19" s="36"/>
      <c r="DQ19" s="36"/>
      <c r="DR19" s="36"/>
      <c r="DS19" s="36"/>
      <c r="DT19" s="36"/>
      <c r="DU19" s="36"/>
      <c r="DV19" s="36"/>
      <c r="DW19" s="36"/>
      <c r="DX19" s="36"/>
      <c r="DY19" s="36"/>
      <c r="DZ19" s="36"/>
      <c r="EA19" s="36"/>
      <c r="EB19" s="36"/>
      <c r="EC19" s="36"/>
      <c r="ED19" s="36"/>
      <c r="EE19" s="36"/>
      <c r="EF19" s="36"/>
      <c r="EG19" s="36"/>
      <c r="EH19" s="36"/>
      <c r="EI19" s="36"/>
      <c r="EJ19" s="36"/>
      <c r="EK19" s="36"/>
      <c r="EL19" s="36"/>
      <c r="EM19" s="36"/>
      <c r="EN19" s="36"/>
      <c r="EO19" s="36"/>
      <c r="EP19" s="36"/>
      <c r="EQ19" s="36"/>
      <c r="ER19" s="36"/>
      <c r="ES19" s="36"/>
      <c r="ET19" s="36"/>
      <c r="EU19" s="36"/>
      <c r="EV19" s="36"/>
      <c r="EW19" s="36"/>
      <c r="EX19" s="36"/>
      <c r="EY19" s="36"/>
      <c r="EZ19" s="36"/>
      <c r="FA19" s="36"/>
      <c r="FB19" s="36"/>
      <c r="FC19" s="36"/>
      <c r="FD19" s="36"/>
      <c r="FE19" s="36"/>
      <c r="FF19" s="36"/>
      <c r="FG19" s="36"/>
      <c r="FH19" s="36"/>
      <c r="FI19" s="36"/>
      <c r="FJ19" s="36"/>
      <c r="FK19" s="36"/>
      <c r="FL19" s="36"/>
      <c r="FM19" s="36"/>
      <c r="FN19" s="36"/>
      <c r="FO19" s="36"/>
      <c r="FP19" s="36"/>
      <c r="FQ19" s="36"/>
      <c r="FR19" s="36"/>
      <c r="FS19" s="36"/>
      <c r="FT19" s="36"/>
      <c r="FU19" s="36"/>
      <c r="FV19" s="36"/>
      <c r="FW19" s="36"/>
      <c r="FX19" s="36"/>
      <c r="FY19" s="36"/>
      <c r="FZ19" s="36"/>
      <c r="GA19" s="36"/>
      <c r="GB19" s="36"/>
      <c r="GC19" s="36"/>
      <c r="GD19" s="36"/>
      <c r="GE19" s="36"/>
      <c r="GF19" s="36"/>
      <c r="GG19" s="36"/>
      <c r="GH19" s="36"/>
      <c r="GI19" s="36"/>
      <c r="GJ19" s="36"/>
      <c r="GK19" s="36"/>
      <c r="GL19" s="36"/>
      <c r="GM19" s="36"/>
      <c r="GN19" s="36"/>
      <c r="GO19" s="36"/>
      <c r="GP19" s="36"/>
      <c r="GQ19" s="36"/>
      <c r="GR19" s="36"/>
      <c r="GS19" s="36"/>
      <c r="GT19" s="36"/>
      <c r="GU19" s="36"/>
      <c r="GV19" s="36"/>
      <c r="GW19" s="36"/>
      <c r="GX19" s="36"/>
      <c r="GY19" s="36"/>
      <c r="GZ19" s="36"/>
      <c r="HA19" s="36"/>
      <c r="HB19" s="36"/>
      <c r="HC19" s="36"/>
      <c r="HD19" s="36"/>
      <c r="HE19" s="36"/>
      <c r="HF19" s="36"/>
      <c r="HG19" s="36"/>
      <c r="HH19" s="36"/>
      <c r="HI19" s="36"/>
      <c r="HJ19" s="36"/>
      <c r="HK19" s="36"/>
      <c r="HL19" s="36"/>
      <c r="HM19" s="36"/>
      <c r="HN19" s="36"/>
      <c r="HO19" s="36"/>
      <c r="HP19" s="36"/>
      <c r="HQ19" s="36"/>
      <c r="HR19" s="36"/>
      <c r="HS19" s="36"/>
      <c r="HT19" s="36"/>
      <c r="HU19" s="36"/>
      <c r="HV19" s="36"/>
      <c r="HW19" s="36"/>
      <c r="HX19" s="36"/>
      <c r="HY19" s="36"/>
      <c r="HZ19" s="36"/>
      <c r="IA19" s="36"/>
      <c r="IB19" s="36"/>
      <c r="IC19" s="36"/>
      <c r="ID19" s="36"/>
      <c r="IE19" s="36"/>
      <c r="IF19" s="36"/>
      <c r="IG19" s="36"/>
      <c r="IH19" s="36"/>
      <c r="II19" s="36"/>
      <c r="IJ19" s="36"/>
      <c r="IK19" s="36"/>
      <c r="IL19" s="36"/>
      <c r="IM19" s="36"/>
      <c r="IN19" s="36"/>
      <c r="IO19" s="36"/>
      <c r="IP19" s="36"/>
    </row>
    <row r="20" spans="1:250">
      <c r="A20" s="33" t="s">
        <v>19</v>
      </c>
      <c r="B20" s="34" t="s">
        <v>5</v>
      </c>
      <c r="C20" s="35" t="s">
        <v>6</v>
      </c>
      <c r="D20" s="31" t="s">
        <v>7</v>
      </c>
      <c r="E20" s="31" t="s">
        <v>18</v>
      </c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6"/>
      <c r="BK20" s="36"/>
      <c r="BL20" s="36"/>
      <c r="BM20" s="36"/>
      <c r="BN20" s="36"/>
      <c r="BO20" s="36"/>
      <c r="BP20" s="36"/>
      <c r="BQ20" s="36"/>
      <c r="BR20" s="36"/>
      <c r="BS20" s="36"/>
      <c r="BT20" s="36"/>
      <c r="BU20" s="36"/>
      <c r="BV20" s="36"/>
      <c r="BW20" s="36"/>
      <c r="BX20" s="36"/>
      <c r="BY20" s="36"/>
      <c r="BZ20" s="36"/>
      <c r="CA20" s="36"/>
      <c r="CB20" s="36"/>
      <c r="CC20" s="36"/>
      <c r="CD20" s="36"/>
      <c r="CE20" s="36"/>
      <c r="CF20" s="36"/>
      <c r="CG20" s="36"/>
      <c r="CH20" s="36"/>
      <c r="CI20" s="36"/>
      <c r="CJ20" s="36"/>
      <c r="CK20" s="36"/>
      <c r="CL20" s="36"/>
      <c r="CM20" s="36"/>
      <c r="CN20" s="36"/>
      <c r="CO20" s="36"/>
      <c r="CP20" s="36"/>
      <c r="CQ20" s="36"/>
      <c r="CR20" s="36"/>
      <c r="CS20" s="36"/>
      <c r="CT20" s="36"/>
      <c r="CU20" s="36"/>
      <c r="CV20" s="36"/>
      <c r="CW20" s="36"/>
      <c r="CX20" s="36"/>
      <c r="CY20" s="36"/>
      <c r="CZ20" s="36"/>
      <c r="DA20" s="36"/>
      <c r="DB20" s="36"/>
      <c r="DC20" s="36"/>
      <c r="DD20" s="36"/>
      <c r="DE20" s="36"/>
      <c r="DF20" s="36"/>
      <c r="DG20" s="36"/>
      <c r="DH20" s="36"/>
      <c r="DI20" s="36"/>
      <c r="DJ20" s="36"/>
      <c r="DK20" s="36"/>
      <c r="DL20" s="36"/>
      <c r="DM20" s="36"/>
      <c r="DN20" s="36"/>
      <c r="DO20" s="36"/>
      <c r="DP20" s="36"/>
      <c r="DQ20" s="36"/>
      <c r="DR20" s="36"/>
      <c r="DS20" s="36"/>
      <c r="DT20" s="36"/>
      <c r="DU20" s="36"/>
      <c r="DV20" s="36"/>
      <c r="DW20" s="36"/>
      <c r="DX20" s="36"/>
      <c r="DY20" s="36"/>
      <c r="DZ20" s="36"/>
      <c r="EA20" s="36"/>
      <c r="EB20" s="36"/>
      <c r="EC20" s="36"/>
      <c r="ED20" s="36"/>
      <c r="EE20" s="36"/>
      <c r="EF20" s="36"/>
      <c r="EG20" s="36"/>
      <c r="EH20" s="36"/>
      <c r="EI20" s="36"/>
      <c r="EJ20" s="36"/>
      <c r="EK20" s="36"/>
      <c r="EL20" s="36"/>
      <c r="EM20" s="36"/>
      <c r="EN20" s="36"/>
      <c r="EO20" s="36"/>
      <c r="EP20" s="36"/>
      <c r="EQ20" s="36"/>
      <c r="ER20" s="36"/>
      <c r="ES20" s="36"/>
      <c r="ET20" s="36"/>
      <c r="EU20" s="36"/>
      <c r="EV20" s="36"/>
      <c r="EW20" s="36"/>
      <c r="EX20" s="36"/>
      <c r="EY20" s="36"/>
      <c r="EZ20" s="36"/>
      <c r="FA20" s="36"/>
      <c r="FB20" s="36"/>
      <c r="FC20" s="36"/>
      <c r="FD20" s="36"/>
      <c r="FE20" s="36"/>
      <c r="FF20" s="36"/>
      <c r="FG20" s="36"/>
      <c r="FH20" s="36"/>
      <c r="FI20" s="36"/>
      <c r="FJ20" s="36"/>
      <c r="FK20" s="36"/>
      <c r="FL20" s="36"/>
      <c r="FM20" s="36"/>
      <c r="FN20" s="36"/>
      <c r="FO20" s="36"/>
      <c r="FP20" s="36"/>
      <c r="FQ20" s="36"/>
      <c r="FR20" s="36"/>
      <c r="FS20" s="36"/>
      <c r="FT20" s="36"/>
      <c r="FU20" s="36"/>
      <c r="FV20" s="36"/>
      <c r="FW20" s="36"/>
      <c r="FX20" s="36"/>
      <c r="FY20" s="36"/>
      <c r="FZ20" s="36"/>
      <c r="GA20" s="36"/>
      <c r="GB20" s="36"/>
      <c r="GC20" s="36"/>
      <c r="GD20" s="36"/>
      <c r="GE20" s="36"/>
      <c r="GF20" s="36"/>
      <c r="GG20" s="36"/>
      <c r="GH20" s="36"/>
      <c r="GI20" s="36"/>
      <c r="GJ20" s="36"/>
      <c r="GK20" s="36"/>
      <c r="GL20" s="36"/>
      <c r="GM20" s="36"/>
      <c r="GN20" s="36"/>
      <c r="GO20" s="36"/>
      <c r="GP20" s="36"/>
      <c r="GQ20" s="36"/>
      <c r="GR20" s="36"/>
      <c r="GS20" s="36"/>
      <c r="GT20" s="36"/>
      <c r="GU20" s="36"/>
      <c r="GV20" s="36"/>
      <c r="GW20" s="36"/>
      <c r="GX20" s="36"/>
      <c r="GY20" s="36"/>
      <c r="GZ20" s="36"/>
      <c r="HA20" s="36"/>
      <c r="HB20" s="36"/>
      <c r="HC20" s="36"/>
      <c r="HD20" s="36"/>
      <c r="HE20" s="36"/>
      <c r="HF20" s="36"/>
      <c r="HG20" s="36"/>
      <c r="HH20" s="36"/>
      <c r="HI20" s="36"/>
      <c r="HJ20" s="36"/>
      <c r="HK20" s="36"/>
      <c r="HL20" s="36"/>
      <c r="HM20" s="36"/>
      <c r="HN20" s="36"/>
      <c r="HO20" s="36"/>
      <c r="HP20" s="36"/>
      <c r="HQ20" s="36"/>
      <c r="HR20" s="36"/>
      <c r="HS20" s="36"/>
      <c r="HT20" s="36"/>
      <c r="HU20" s="36"/>
      <c r="HV20" s="36"/>
      <c r="HW20" s="36"/>
      <c r="HX20" s="36"/>
      <c r="HY20" s="36"/>
      <c r="HZ20" s="36"/>
      <c r="IA20" s="36"/>
      <c r="IB20" s="36"/>
      <c r="IC20" s="36"/>
      <c r="ID20" s="36"/>
      <c r="IE20" s="36"/>
      <c r="IF20" s="36"/>
      <c r="IG20" s="36"/>
      <c r="IH20" s="36"/>
      <c r="II20" s="36"/>
      <c r="IJ20" s="36"/>
      <c r="IK20" s="36"/>
      <c r="IL20" s="36"/>
      <c r="IM20" s="36"/>
      <c r="IN20" s="36"/>
      <c r="IO20" s="36"/>
      <c r="IP20" s="36"/>
    </row>
    <row r="21" spans="1:250">
      <c r="A21" s="40" t="s">
        <v>22</v>
      </c>
      <c r="B21" s="43" t="s">
        <v>1</v>
      </c>
      <c r="C21" s="44" t="s">
        <v>24</v>
      </c>
      <c r="D21" s="48">
        <v>29.518000000000001</v>
      </c>
      <c r="E21" s="45">
        <f>D21*32.1507</f>
        <v>949.02436260000002</v>
      </c>
    </row>
    <row r="22" spans="1:250">
      <c r="A22" s="40" t="s">
        <v>22</v>
      </c>
      <c r="B22" s="43" t="str">
        <f t="shared" ref="B22:B54" si="1">B21</f>
        <v>Pallet # 1</v>
      </c>
      <c r="C22" s="44" t="s">
        <v>25</v>
      </c>
      <c r="D22" s="48">
        <v>29.567599999999999</v>
      </c>
      <c r="E22" s="45">
        <f t="shared" ref="E22:E85" si="2">D22*32.1507</f>
        <v>950.61903731999996</v>
      </c>
    </row>
    <row r="23" spans="1:250">
      <c r="A23" s="40" t="s">
        <v>22</v>
      </c>
      <c r="B23" s="43" t="str">
        <f t="shared" si="1"/>
        <v>Pallet # 1</v>
      </c>
      <c r="C23" s="44" t="s">
        <v>26</v>
      </c>
      <c r="D23" s="48">
        <v>29.5718</v>
      </c>
      <c r="E23" s="45">
        <f t="shared" si="2"/>
        <v>950.75407026000005</v>
      </c>
    </row>
    <row r="24" spans="1:250">
      <c r="A24" s="40" t="s">
        <v>22</v>
      </c>
      <c r="B24" s="43" t="str">
        <f t="shared" si="1"/>
        <v>Pallet # 1</v>
      </c>
      <c r="C24" s="44" t="s">
        <v>27</v>
      </c>
      <c r="D24" s="48">
        <v>29.581599999999998</v>
      </c>
      <c r="E24" s="45">
        <f t="shared" si="2"/>
        <v>951.06914711999991</v>
      </c>
    </row>
    <row r="25" spans="1:250">
      <c r="A25" s="40" t="s">
        <v>22</v>
      </c>
      <c r="B25" s="43" t="str">
        <f t="shared" si="1"/>
        <v>Pallet # 1</v>
      </c>
      <c r="C25" s="44" t="s">
        <v>28</v>
      </c>
      <c r="D25" s="48">
        <v>29.562900000000003</v>
      </c>
      <c r="E25" s="45">
        <f t="shared" si="2"/>
        <v>950.46792903000005</v>
      </c>
    </row>
    <row r="26" spans="1:250">
      <c r="A26" s="40" t="s">
        <v>22</v>
      </c>
      <c r="B26" s="43" t="str">
        <f t="shared" si="1"/>
        <v>Pallet # 1</v>
      </c>
      <c r="C26" s="44" t="s">
        <v>29</v>
      </c>
      <c r="D26" s="48">
        <v>29.563200000000002</v>
      </c>
      <c r="E26" s="45">
        <f t="shared" si="2"/>
        <v>950.47757424000008</v>
      </c>
    </row>
    <row r="27" spans="1:250">
      <c r="A27" s="40" t="s">
        <v>22</v>
      </c>
      <c r="B27" s="43" t="str">
        <f t="shared" si="1"/>
        <v>Pallet # 1</v>
      </c>
      <c r="C27" s="44" t="s">
        <v>30</v>
      </c>
      <c r="D27" s="48">
        <v>29.567400000000003</v>
      </c>
      <c r="E27" s="45">
        <f t="shared" si="2"/>
        <v>950.61260718000005</v>
      </c>
    </row>
    <row r="28" spans="1:250">
      <c r="A28" s="40" t="s">
        <v>22</v>
      </c>
      <c r="B28" s="43" t="str">
        <f t="shared" si="1"/>
        <v>Pallet # 1</v>
      </c>
      <c r="C28" s="44" t="s">
        <v>31</v>
      </c>
      <c r="D28" s="48">
        <v>29.5245</v>
      </c>
      <c r="E28" s="45">
        <f t="shared" si="2"/>
        <v>949.23334215</v>
      </c>
    </row>
    <row r="29" spans="1:250">
      <c r="A29" s="40" t="s">
        <v>22</v>
      </c>
      <c r="B29" s="43" t="str">
        <f t="shared" si="1"/>
        <v>Pallet # 1</v>
      </c>
      <c r="C29" s="44" t="s">
        <v>32</v>
      </c>
      <c r="D29" s="48">
        <v>29.586400000000001</v>
      </c>
      <c r="E29" s="45">
        <f t="shared" si="2"/>
        <v>951.22347048000006</v>
      </c>
    </row>
    <row r="30" spans="1:250">
      <c r="A30" s="40" t="s">
        <v>22</v>
      </c>
      <c r="B30" s="43" t="str">
        <f t="shared" si="1"/>
        <v>Pallet # 1</v>
      </c>
      <c r="C30" s="44" t="s">
        <v>33</v>
      </c>
      <c r="D30" s="48">
        <v>29.5654</v>
      </c>
      <c r="E30" s="45">
        <f t="shared" si="2"/>
        <v>950.54830578000008</v>
      </c>
    </row>
    <row r="31" spans="1:250">
      <c r="A31" s="40" t="s">
        <v>22</v>
      </c>
      <c r="B31" s="43" t="str">
        <f t="shared" si="1"/>
        <v>Pallet # 1</v>
      </c>
      <c r="C31" s="44" t="s">
        <v>34</v>
      </c>
      <c r="D31" s="48">
        <v>29.625299999999999</v>
      </c>
      <c r="E31" s="45">
        <f t="shared" si="2"/>
        <v>952.47413271000005</v>
      </c>
    </row>
    <row r="32" spans="1:250">
      <c r="A32" s="40" t="s">
        <v>22</v>
      </c>
      <c r="B32" s="43" t="str">
        <f t="shared" si="1"/>
        <v>Pallet # 1</v>
      </c>
      <c r="C32" s="44" t="s">
        <v>35</v>
      </c>
      <c r="D32" s="48">
        <v>29.563099999999999</v>
      </c>
      <c r="E32" s="45">
        <f t="shared" si="2"/>
        <v>950.47435916999996</v>
      </c>
    </row>
    <row r="33" spans="1:5">
      <c r="A33" s="40" t="s">
        <v>22</v>
      </c>
      <c r="B33" s="43" t="str">
        <f t="shared" si="1"/>
        <v>Pallet # 1</v>
      </c>
      <c r="C33" s="44" t="s">
        <v>36</v>
      </c>
      <c r="D33" s="48">
        <v>29.544</v>
      </c>
      <c r="E33" s="45">
        <f t="shared" si="2"/>
        <v>949.86028080000006</v>
      </c>
    </row>
    <row r="34" spans="1:5">
      <c r="A34" s="40" t="s">
        <v>22</v>
      </c>
      <c r="B34" s="43" t="str">
        <f t="shared" si="1"/>
        <v>Pallet # 1</v>
      </c>
      <c r="C34" s="44" t="s">
        <v>37</v>
      </c>
      <c r="D34" s="48">
        <v>29.5489</v>
      </c>
      <c r="E34" s="45">
        <f t="shared" si="2"/>
        <v>950.01781922999999</v>
      </c>
    </row>
    <row r="35" spans="1:5">
      <c r="A35" s="40" t="s">
        <v>22</v>
      </c>
      <c r="B35" s="43" t="str">
        <f t="shared" si="1"/>
        <v>Pallet # 1</v>
      </c>
      <c r="C35" s="44" t="s">
        <v>38</v>
      </c>
      <c r="D35" s="48">
        <v>29.538900000000002</v>
      </c>
      <c r="E35" s="45">
        <f t="shared" si="2"/>
        <v>949.6963122300001</v>
      </c>
    </row>
    <row r="36" spans="1:5">
      <c r="A36" s="40" t="s">
        <v>22</v>
      </c>
      <c r="B36" s="43" t="str">
        <f t="shared" si="1"/>
        <v>Pallet # 1</v>
      </c>
      <c r="C36" s="44" t="s">
        <v>39</v>
      </c>
      <c r="D36" s="48">
        <v>29.519099999999998</v>
      </c>
      <c r="E36" s="45">
        <f t="shared" si="2"/>
        <v>949.0597283699999</v>
      </c>
    </row>
    <row r="37" spans="1:5">
      <c r="A37" s="40" t="s">
        <v>22</v>
      </c>
      <c r="B37" s="43" t="str">
        <f t="shared" si="1"/>
        <v>Pallet # 1</v>
      </c>
      <c r="C37" s="44" t="s">
        <v>40</v>
      </c>
      <c r="D37" s="48">
        <v>29.602499999999999</v>
      </c>
      <c r="E37" s="45">
        <f t="shared" si="2"/>
        <v>951.74109675</v>
      </c>
    </row>
    <row r="38" spans="1:5">
      <c r="A38" s="40" t="s">
        <v>22</v>
      </c>
      <c r="B38" s="43" t="str">
        <f t="shared" si="1"/>
        <v>Pallet # 1</v>
      </c>
      <c r="C38" s="44" t="s">
        <v>41</v>
      </c>
      <c r="D38" s="48">
        <v>29.6006</v>
      </c>
      <c r="E38" s="45">
        <f t="shared" si="2"/>
        <v>951.68001042000003</v>
      </c>
    </row>
    <row r="39" spans="1:5">
      <c r="A39" s="40" t="s">
        <v>22</v>
      </c>
      <c r="B39" s="43" t="str">
        <f t="shared" si="1"/>
        <v>Pallet # 1</v>
      </c>
      <c r="C39" s="44" t="s">
        <v>42</v>
      </c>
      <c r="D39" s="48">
        <v>29.564</v>
      </c>
      <c r="E39" s="45">
        <f t="shared" si="2"/>
        <v>950.50329480000005</v>
      </c>
    </row>
    <row r="40" spans="1:5">
      <c r="A40" s="40" t="s">
        <v>22</v>
      </c>
      <c r="B40" s="43" t="str">
        <f t="shared" si="1"/>
        <v>Pallet # 1</v>
      </c>
      <c r="C40" s="44" t="s">
        <v>43</v>
      </c>
      <c r="D40" s="48">
        <v>29.549400000000002</v>
      </c>
      <c r="E40" s="45">
        <f t="shared" si="2"/>
        <v>950.03389458000004</v>
      </c>
    </row>
    <row r="41" spans="1:5">
      <c r="A41" s="40" t="s">
        <v>22</v>
      </c>
      <c r="B41" s="43" t="str">
        <f t="shared" si="1"/>
        <v>Pallet # 1</v>
      </c>
      <c r="C41" s="44" t="s">
        <v>44</v>
      </c>
      <c r="D41" s="48">
        <v>29.536099999999998</v>
      </c>
      <c r="E41" s="45">
        <f t="shared" si="2"/>
        <v>949.60629026999993</v>
      </c>
    </row>
    <row r="42" spans="1:5">
      <c r="A42" s="40" t="s">
        <v>22</v>
      </c>
      <c r="B42" s="43" t="str">
        <f t="shared" si="1"/>
        <v>Pallet # 1</v>
      </c>
      <c r="C42" s="44" t="s">
        <v>45</v>
      </c>
      <c r="D42" s="48">
        <v>29.852</v>
      </c>
      <c r="E42" s="45">
        <f t="shared" si="2"/>
        <v>959.76269639999998</v>
      </c>
    </row>
    <row r="43" spans="1:5">
      <c r="A43" s="40" t="s">
        <v>22</v>
      </c>
      <c r="B43" s="43" t="str">
        <f t="shared" si="1"/>
        <v>Pallet # 1</v>
      </c>
      <c r="C43" s="44" t="s">
        <v>46</v>
      </c>
      <c r="D43" s="48">
        <v>29.546200000000002</v>
      </c>
      <c r="E43" s="45">
        <f t="shared" si="2"/>
        <v>949.93101234000005</v>
      </c>
    </row>
    <row r="44" spans="1:5">
      <c r="A44" s="40" t="s">
        <v>22</v>
      </c>
      <c r="B44" s="43" t="str">
        <f t="shared" si="1"/>
        <v>Pallet # 1</v>
      </c>
      <c r="C44" s="44" t="s">
        <v>47</v>
      </c>
      <c r="D44" s="48">
        <v>29.572599999999998</v>
      </c>
      <c r="E44" s="45">
        <f t="shared" si="2"/>
        <v>950.7797908199999</v>
      </c>
    </row>
    <row r="45" spans="1:5">
      <c r="A45" s="40" t="s">
        <v>22</v>
      </c>
      <c r="B45" s="43" t="str">
        <f t="shared" si="1"/>
        <v>Pallet # 1</v>
      </c>
      <c r="C45" s="44" t="s">
        <v>48</v>
      </c>
      <c r="D45" s="48">
        <v>29.573400000000003</v>
      </c>
      <c r="E45" s="45">
        <f t="shared" si="2"/>
        <v>950.8055113800001</v>
      </c>
    </row>
    <row r="46" spans="1:5">
      <c r="A46" s="40" t="s">
        <v>22</v>
      </c>
      <c r="B46" s="43" t="str">
        <f t="shared" si="1"/>
        <v>Pallet # 1</v>
      </c>
      <c r="C46" s="44" t="s">
        <v>49</v>
      </c>
      <c r="D46" s="48">
        <v>29.515999999999998</v>
      </c>
      <c r="E46" s="45">
        <f t="shared" si="2"/>
        <v>948.96006119999993</v>
      </c>
    </row>
    <row r="47" spans="1:5">
      <c r="A47" s="40" t="s">
        <v>22</v>
      </c>
      <c r="B47" s="43" t="str">
        <f t="shared" si="1"/>
        <v>Pallet # 1</v>
      </c>
      <c r="C47" s="44" t="s">
        <v>50</v>
      </c>
      <c r="D47" s="48">
        <v>29.5381</v>
      </c>
      <c r="E47" s="45">
        <f t="shared" si="2"/>
        <v>949.67059167000002</v>
      </c>
    </row>
    <row r="48" spans="1:5">
      <c r="A48" s="40" t="s">
        <v>22</v>
      </c>
      <c r="B48" s="43" t="str">
        <f t="shared" si="1"/>
        <v>Pallet # 1</v>
      </c>
      <c r="C48" s="44" t="s">
        <v>51</v>
      </c>
      <c r="D48" s="48">
        <v>29.531400000000001</v>
      </c>
      <c r="E48" s="45">
        <f t="shared" si="2"/>
        <v>949.45518198000002</v>
      </c>
    </row>
    <row r="49" spans="1:5">
      <c r="A49" s="40" t="s">
        <v>22</v>
      </c>
      <c r="B49" s="43" t="str">
        <f t="shared" si="1"/>
        <v>Pallet # 1</v>
      </c>
      <c r="C49" s="44" t="s">
        <v>52</v>
      </c>
      <c r="D49" s="48">
        <v>29.530200000000001</v>
      </c>
      <c r="E49" s="45">
        <f t="shared" si="2"/>
        <v>949.41660114000001</v>
      </c>
    </row>
    <row r="50" spans="1:5">
      <c r="A50" s="40" t="s">
        <v>22</v>
      </c>
      <c r="B50" s="43" t="str">
        <f t="shared" si="1"/>
        <v>Pallet # 1</v>
      </c>
      <c r="C50" s="44" t="s">
        <v>53</v>
      </c>
      <c r="D50" s="48">
        <v>29.532499999999999</v>
      </c>
      <c r="E50" s="45">
        <f t="shared" si="2"/>
        <v>949.49054775000002</v>
      </c>
    </row>
    <row r="51" spans="1:5">
      <c r="A51" s="40" t="s">
        <v>22</v>
      </c>
      <c r="B51" s="43" t="str">
        <f t="shared" si="1"/>
        <v>Pallet # 1</v>
      </c>
      <c r="C51" s="44" t="s">
        <v>54</v>
      </c>
      <c r="D51" s="48">
        <v>29.546700000000001</v>
      </c>
      <c r="E51" s="45">
        <f t="shared" si="2"/>
        <v>949.9470876900001</v>
      </c>
    </row>
    <row r="52" spans="1:5">
      <c r="A52" s="40" t="s">
        <v>22</v>
      </c>
      <c r="B52" s="43" t="str">
        <f t="shared" si="1"/>
        <v>Pallet # 1</v>
      </c>
      <c r="C52" s="44" t="s">
        <v>55</v>
      </c>
      <c r="D52" s="48">
        <v>29.538599999999999</v>
      </c>
      <c r="E52" s="45">
        <f t="shared" si="2"/>
        <v>949.68666701999996</v>
      </c>
    </row>
    <row r="53" spans="1:5">
      <c r="A53" s="40" t="s">
        <v>22</v>
      </c>
      <c r="B53" s="43" t="str">
        <f t="shared" si="1"/>
        <v>Pallet # 1</v>
      </c>
      <c r="C53" s="44" t="s">
        <v>56</v>
      </c>
      <c r="D53" s="48">
        <v>29.550900000000002</v>
      </c>
      <c r="E53" s="45">
        <f t="shared" si="2"/>
        <v>950.08212063000008</v>
      </c>
    </row>
    <row r="54" spans="1:5">
      <c r="A54" s="40" t="s">
        <v>22</v>
      </c>
      <c r="B54" s="43" t="str">
        <f t="shared" si="1"/>
        <v>Pallet # 1</v>
      </c>
      <c r="C54" s="44" t="s">
        <v>57</v>
      </c>
      <c r="D54" s="48">
        <v>29.564599999999999</v>
      </c>
      <c r="E54" s="45">
        <f t="shared" si="2"/>
        <v>950.52258522</v>
      </c>
    </row>
    <row r="55" spans="1:5">
      <c r="A55" s="40" t="s">
        <v>22</v>
      </c>
      <c r="B55" s="43" t="s">
        <v>2</v>
      </c>
      <c r="C55" s="44" t="s">
        <v>58</v>
      </c>
      <c r="D55" s="48">
        <v>29.6812</v>
      </c>
      <c r="E55" s="45">
        <f t="shared" si="2"/>
        <v>954.27135684000007</v>
      </c>
    </row>
    <row r="56" spans="1:5">
      <c r="A56" s="40" t="s">
        <v>22</v>
      </c>
      <c r="B56" s="43" t="str">
        <f t="shared" ref="B56:B88" si="3">B55</f>
        <v>Pallet # 2</v>
      </c>
      <c r="C56" s="44" t="s">
        <v>59</v>
      </c>
      <c r="D56" s="48">
        <v>29.555900000000001</v>
      </c>
      <c r="E56" s="45">
        <f t="shared" si="2"/>
        <v>950.24287413000002</v>
      </c>
    </row>
    <row r="57" spans="1:5">
      <c r="A57" s="40" t="s">
        <v>22</v>
      </c>
      <c r="B57" s="43" t="str">
        <f t="shared" si="3"/>
        <v>Pallet # 2</v>
      </c>
      <c r="C57" s="44" t="s">
        <v>60</v>
      </c>
      <c r="D57" s="48">
        <v>29.495099999999997</v>
      </c>
      <c r="E57" s="45">
        <f t="shared" si="2"/>
        <v>948.28811156999996</v>
      </c>
    </row>
    <row r="58" spans="1:5">
      <c r="A58" s="40" t="s">
        <v>22</v>
      </c>
      <c r="B58" s="43" t="str">
        <f t="shared" si="3"/>
        <v>Pallet # 2</v>
      </c>
      <c r="C58" s="44" t="s">
        <v>61</v>
      </c>
      <c r="D58" s="48">
        <v>29.542400000000001</v>
      </c>
      <c r="E58" s="45">
        <f t="shared" si="2"/>
        <v>949.80883968000001</v>
      </c>
    </row>
    <row r="59" spans="1:5">
      <c r="A59" s="40" t="s">
        <v>22</v>
      </c>
      <c r="B59" s="43" t="str">
        <f t="shared" si="3"/>
        <v>Pallet # 2</v>
      </c>
      <c r="C59" s="44" t="s">
        <v>62</v>
      </c>
      <c r="D59" s="48">
        <v>29.514500000000002</v>
      </c>
      <c r="E59" s="45">
        <f t="shared" si="2"/>
        <v>948.91183515000012</v>
      </c>
    </row>
    <row r="60" spans="1:5">
      <c r="A60" s="40" t="s">
        <v>22</v>
      </c>
      <c r="B60" s="43" t="str">
        <f t="shared" si="3"/>
        <v>Pallet # 2</v>
      </c>
      <c r="C60" s="44" t="s">
        <v>63</v>
      </c>
      <c r="D60" s="48">
        <v>29.538700000000002</v>
      </c>
      <c r="E60" s="45">
        <f t="shared" si="2"/>
        <v>949.68988209000008</v>
      </c>
    </row>
    <row r="61" spans="1:5">
      <c r="A61" s="40" t="s">
        <v>22</v>
      </c>
      <c r="B61" s="43" t="str">
        <f t="shared" si="3"/>
        <v>Pallet # 2</v>
      </c>
      <c r="C61" s="44" t="s">
        <v>64</v>
      </c>
      <c r="D61" s="48">
        <v>29.552499999999998</v>
      </c>
      <c r="E61" s="45">
        <f t="shared" si="2"/>
        <v>950.13356175000001</v>
      </c>
    </row>
    <row r="62" spans="1:5">
      <c r="A62" s="40" t="s">
        <v>22</v>
      </c>
      <c r="B62" s="43" t="str">
        <f t="shared" si="3"/>
        <v>Pallet # 2</v>
      </c>
      <c r="C62" s="44" t="s">
        <v>65</v>
      </c>
      <c r="D62" s="48">
        <v>29.545999999999999</v>
      </c>
      <c r="E62" s="45">
        <f t="shared" si="2"/>
        <v>949.92458220000003</v>
      </c>
    </row>
    <row r="63" spans="1:5">
      <c r="A63" s="40" t="s">
        <v>22</v>
      </c>
      <c r="B63" s="43" t="str">
        <f t="shared" si="3"/>
        <v>Pallet # 2</v>
      </c>
      <c r="C63" s="44" t="s">
        <v>66</v>
      </c>
      <c r="D63" s="48">
        <v>29.516299999999998</v>
      </c>
      <c r="E63" s="45">
        <f t="shared" si="2"/>
        <v>948.96970640999996</v>
      </c>
    </row>
    <row r="64" spans="1:5">
      <c r="A64" s="40" t="s">
        <v>22</v>
      </c>
      <c r="B64" s="43" t="str">
        <f t="shared" si="3"/>
        <v>Pallet # 2</v>
      </c>
      <c r="C64" s="44" t="s">
        <v>67</v>
      </c>
      <c r="D64" s="48">
        <v>29.5411</v>
      </c>
      <c r="E64" s="45">
        <f t="shared" si="2"/>
        <v>949.76704376999999</v>
      </c>
    </row>
    <row r="65" spans="1:5">
      <c r="A65" s="40" t="s">
        <v>22</v>
      </c>
      <c r="B65" s="43" t="str">
        <f t="shared" si="3"/>
        <v>Pallet # 2</v>
      </c>
      <c r="C65" s="44" t="s">
        <v>68</v>
      </c>
      <c r="D65" s="48">
        <v>29.680499999999999</v>
      </c>
      <c r="E65" s="45">
        <f t="shared" si="2"/>
        <v>954.24885135</v>
      </c>
    </row>
    <row r="66" spans="1:5">
      <c r="A66" s="40" t="s">
        <v>22</v>
      </c>
      <c r="B66" s="43" t="str">
        <f t="shared" si="3"/>
        <v>Pallet # 2</v>
      </c>
      <c r="C66" s="44" t="s">
        <v>69</v>
      </c>
      <c r="D66" s="48">
        <v>29.563200000000002</v>
      </c>
      <c r="E66" s="45">
        <f t="shared" si="2"/>
        <v>950.47757424000008</v>
      </c>
    </row>
    <row r="67" spans="1:5">
      <c r="A67" s="40" t="s">
        <v>22</v>
      </c>
      <c r="B67" s="43" t="str">
        <f t="shared" si="3"/>
        <v>Pallet # 2</v>
      </c>
      <c r="C67" s="44" t="s">
        <v>70</v>
      </c>
      <c r="D67" s="48">
        <v>29.611599999999999</v>
      </c>
      <c r="E67" s="45">
        <f t="shared" si="2"/>
        <v>952.03366812000002</v>
      </c>
    </row>
    <row r="68" spans="1:5">
      <c r="A68" s="40" t="s">
        <v>22</v>
      </c>
      <c r="B68" s="43" t="str">
        <f t="shared" si="3"/>
        <v>Pallet # 2</v>
      </c>
      <c r="C68" s="44" t="s">
        <v>71</v>
      </c>
      <c r="D68" s="48">
        <v>29.632099999999998</v>
      </c>
      <c r="E68" s="45">
        <f t="shared" si="2"/>
        <v>952.69275746999995</v>
      </c>
    </row>
    <row r="69" spans="1:5">
      <c r="A69" s="40" t="s">
        <v>22</v>
      </c>
      <c r="B69" s="43" t="str">
        <f t="shared" si="3"/>
        <v>Pallet # 2</v>
      </c>
      <c r="C69" s="46" t="s">
        <v>72</v>
      </c>
      <c r="D69" s="49">
        <v>29.5688</v>
      </c>
      <c r="E69" s="45">
        <f t="shared" si="2"/>
        <v>950.65761815999997</v>
      </c>
    </row>
    <row r="70" spans="1:5">
      <c r="A70" s="40" t="s">
        <v>22</v>
      </c>
      <c r="B70" s="43" t="str">
        <f t="shared" si="3"/>
        <v>Pallet # 2</v>
      </c>
      <c r="C70" s="46" t="s">
        <v>73</v>
      </c>
      <c r="D70" s="49">
        <v>29.5824</v>
      </c>
      <c r="E70" s="45">
        <f t="shared" si="2"/>
        <v>951.09486767999999</v>
      </c>
    </row>
    <row r="71" spans="1:5">
      <c r="A71" s="40" t="s">
        <v>22</v>
      </c>
      <c r="B71" s="43" t="str">
        <f t="shared" si="3"/>
        <v>Pallet # 2</v>
      </c>
      <c r="C71" s="46" t="s">
        <v>74</v>
      </c>
      <c r="D71" s="49">
        <v>29.546599999999998</v>
      </c>
      <c r="E71" s="45">
        <f t="shared" si="2"/>
        <v>949.94387261999998</v>
      </c>
    </row>
    <row r="72" spans="1:5">
      <c r="A72" s="40" t="s">
        <v>22</v>
      </c>
      <c r="B72" s="43" t="str">
        <f t="shared" si="3"/>
        <v>Pallet # 2</v>
      </c>
      <c r="C72" s="46" t="s">
        <v>75</v>
      </c>
      <c r="D72" s="49">
        <v>29.547400000000003</v>
      </c>
      <c r="E72" s="45">
        <f t="shared" si="2"/>
        <v>949.96959318000017</v>
      </c>
    </row>
    <row r="73" spans="1:5">
      <c r="A73" s="40" t="s">
        <v>22</v>
      </c>
      <c r="B73" s="43" t="str">
        <f t="shared" si="3"/>
        <v>Pallet # 2</v>
      </c>
      <c r="C73" s="46" t="s">
        <v>76</v>
      </c>
      <c r="D73" s="49">
        <v>29.531299999999998</v>
      </c>
      <c r="E73" s="45">
        <f t="shared" si="2"/>
        <v>949.45196691000001</v>
      </c>
    </row>
    <row r="74" spans="1:5">
      <c r="A74" s="40" t="s">
        <v>22</v>
      </c>
      <c r="B74" s="43" t="str">
        <f t="shared" si="3"/>
        <v>Pallet # 2</v>
      </c>
      <c r="C74" s="46" t="s">
        <v>77</v>
      </c>
      <c r="D74" s="49">
        <v>29.5367</v>
      </c>
      <c r="E74" s="45">
        <f t="shared" si="2"/>
        <v>949.62558068999999</v>
      </c>
    </row>
    <row r="75" spans="1:5">
      <c r="A75" s="40" t="s">
        <v>22</v>
      </c>
      <c r="B75" s="43" t="str">
        <f t="shared" si="3"/>
        <v>Pallet # 2</v>
      </c>
      <c r="C75" s="46" t="s">
        <v>78</v>
      </c>
      <c r="D75" s="49">
        <v>29.562099999999997</v>
      </c>
      <c r="E75" s="45">
        <f t="shared" si="2"/>
        <v>950.44220846999997</v>
      </c>
    </row>
    <row r="76" spans="1:5">
      <c r="A76" s="40" t="s">
        <v>22</v>
      </c>
      <c r="B76" s="43" t="str">
        <f t="shared" si="3"/>
        <v>Pallet # 2</v>
      </c>
      <c r="C76" s="46" t="s">
        <v>79</v>
      </c>
      <c r="D76" s="49">
        <v>29.608000000000001</v>
      </c>
      <c r="E76" s="45">
        <f t="shared" si="2"/>
        <v>951.91792559999999</v>
      </c>
    </row>
    <row r="77" spans="1:5">
      <c r="A77" s="40" t="s">
        <v>22</v>
      </c>
      <c r="B77" s="43" t="str">
        <f t="shared" si="3"/>
        <v>Pallet # 2</v>
      </c>
      <c r="C77" s="46" t="s">
        <v>80</v>
      </c>
      <c r="D77" s="49">
        <v>29.707599999999999</v>
      </c>
      <c r="E77" s="45">
        <f t="shared" si="2"/>
        <v>955.12013532000003</v>
      </c>
    </row>
    <row r="78" spans="1:5">
      <c r="A78" s="40" t="s">
        <v>22</v>
      </c>
      <c r="B78" s="43" t="str">
        <f t="shared" si="3"/>
        <v>Pallet # 2</v>
      </c>
      <c r="C78" s="46" t="s">
        <v>81</v>
      </c>
      <c r="D78" s="49">
        <v>29.557700000000001</v>
      </c>
      <c r="E78" s="45">
        <f t="shared" si="2"/>
        <v>950.30074539000009</v>
      </c>
    </row>
    <row r="79" spans="1:5">
      <c r="A79" s="40" t="s">
        <v>22</v>
      </c>
      <c r="B79" s="43" t="str">
        <f t="shared" si="3"/>
        <v>Pallet # 2</v>
      </c>
      <c r="C79" s="46" t="s">
        <v>82</v>
      </c>
      <c r="D79" s="49">
        <v>29.569700000000001</v>
      </c>
      <c r="E79" s="45">
        <f t="shared" si="2"/>
        <v>950.68655379000006</v>
      </c>
    </row>
    <row r="80" spans="1:5">
      <c r="A80" s="40" t="s">
        <v>22</v>
      </c>
      <c r="B80" s="43" t="str">
        <f t="shared" si="3"/>
        <v>Pallet # 2</v>
      </c>
      <c r="C80" s="46" t="s">
        <v>83</v>
      </c>
      <c r="D80" s="49">
        <v>29.5716</v>
      </c>
      <c r="E80" s="45">
        <f t="shared" si="2"/>
        <v>950.74764012000003</v>
      </c>
    </row>
    <row r="81" spans="1:5">
      <c r="A81" s="40" t="s">
        <v>22</v>
      </c>
      <c r="B81" s="43" t="str">
        <f t="shared" si="3"/>
        <v>Pallet # 2</v>
      </c>
      <c r="C81" s="46" t="s">
        <v>84</v>
      </c>
      <c r="D81" s="49">
        <v>29.598400000000002</v>
      </c>
      <c r="E81" s="45">
        <f t="shared" si="2"/>
        <v>951.60927888000003</v>
      </c>
    </row>
    <row r="82" spans="1:5">
      <c r="A82" s="40" t="s">
        <v>22</v>
      </c>
      <c r="B82" s="43" t="str">
        <f t="shared" si="3"/>
        <v>Pallet # 2</v>
      </c>
      <c r="C82" s="46" t="s">
        <v>85</v>
      </c>
      <c r="D82" s="49">
        <v>29.5623</v>
      </c>
      <c r="E82" s="45">
        <f t="shared" si="2"/>
        <v>950.44863860999999</v>
      </c>
    </row>
    <row r="83" spans="1:5">
      <c r="A83" s="40" t="s">
        <v>22</v>
      </c>
      <c r="B83" s="43" t="str">
        <f t="shared" si="3"/>
        <v>Pallet # 2</v>
      </c>
      <c r="C83" s="46" t="s">
        <v>86</v>
      </c>
      <c r="D83" s="49">
        <v>29.543700000000001</v>
      </c>
      <c r="E83" s="45">
        <f t="shared" si="2"/>
        <v>949.85063559000002</v>
      </c>
    </row>
    <row r="84" spans="1:5">
      <c r="A84" s="40" t="s">
        <v>22</v>
      </c>
      <c r="B84" s="43" t="str">
        <f t="shared" si="3"/>
        <v>Pallet # 2</v>
      </c>
      <c r="C84" s="46" t="s">
        <v>87</v>
      </c>
      <c r="D84" s="49">
        <v>29.712900000000001</v>
      </c>
      <c r="E84" s="45">
        <f t="shared" si="2"/>
        <v>955.29053403</v>
      </c>
    </row>
    <row r="85" spans="1:5">
      <c r="A85" s="40" t="s">
        <v>22</v>
      </c>
      <c r="B85" s="43" t="str">
        <f t="shared" si="3"/>
        <v>Pallet # 2</v>
      </c>
      <c r="C85" s="46" t="s">
        <v>88</v>
      </c>
      <c r="D85" s="49">
        <v>29.576599999999999</v>
      </c>
      <c r="E85" s="45">
        <f t="shared" si="2"/>
        <v>950.90839361999997</v>
      </c>
    </row>
    <row r="86" spans="1:5">
      <c r="A86" s="40" t="s">
        <v>22</v>
      </c>
      <c r="B86" s="43" t="str">
        <f t="shared" si="3"/>
        <v>Pallet # 2</v>
      </c>
      <c r="C86" s="46" t="s">
        <v>89</v>
      </c>
      <c r="D86" s="49">
        <v>29.564799999999998</v>
      </c>
      <c r="E86" s="45">
        <f t="shared" ref="E86:E149" si="4">D86*32.1507</f>
        <v>950.5290153599999</v>
      </c>
    </row>
    <row r="87" spans="1:5">
      <c r="A87" s="40" t="s">
        <v>22</v>
      </c>
      <c r="B87" s="43" t="str">
        <f t="shared" si="3"/>
        <v>Pallet # 2</v>
      </c>
      <c r="C87" s="46" t="s">
        <v>90</v>
      </c>
      <c r="D87" s="49">
        <v>29.549499999999998</v>
      </c>
      <c r="E87" s="45">
        <f t="shared" si="4"/>
        <v>950.03710964999993</v>
      </c>
    </row>
    <row r="88" spans="1:5">
      <c r="A88" s="40" t="s">
        <v>22</v>
      </c>
      <c r="B88" s="43" t="str">
        <f t="shared" si="3"/>
        <v>Pallet # 2</v>
      </c>
      <c r="C88" s="46" t="s">
        <v>91</v>
      </c>
      <c r="D88" s="49">
        <v>29.552199999999999</v>
      </c>
      <c r="E88" s="45">
        <f t="shared" si="4"/>
        <v>950.12391653999998</v>
      </c>
    </row>
    <row r="89" spans="1:5">
      <c r="A89" s="40" t="s">
        <v>22</v>
      </c>
      <c r="B89" s="39" t="s">
        <v>15</v>
      </c>
      <c r="C89" s="46" t="s">
        <v>92</v>
      </c>
      <c r="D89" s="49">
        <v>29.571400000000001</v>
      </c>
      <c r="E89" s="45">
        <f t="shared" si="4"/>
        <v>950.74120998000001</v>
      </c>
    </row>
    <row r="90" spans="1:5">
      <c r="A90" s="40" t="s">
        <v>22</v>
      </c>
      <c r="B90" s="43" t="str">
        <f t="shared" ref="B90:B122" si="5">B89</f>
        <v>Pallet # 3</v>
      </c>
      <c r="C90" s="46" t="s">
        <v>93</v>
      </c>
      <c r="D90" s="49">
        <v>29.550599999999999</v>
      </c>
      <c r="E90" s="45">
        <f t="shared" si="4"/>
        <v>950.07247542000005</v>
      </c>
    </row>
    <row r="91" spans="1:5">
      <c r="A91" s="40" t="s">
        <v>22</v>
      </c>
      <c r="B91" s="43" t="str">
        <f t="shared" si="5"/>
        <v>Pallet # 3</v>
      </c>
      <c r="C91" s="46" t="s">
        <v>94</v>
      </c>
      <c r="D91" s="49">
        <v>29.564499999999999</v>
      </c>
      <c r="E91" s="45">
        <f t="shared" si="4"/>
        <v>950.51937014999999</v>
      </c>
    </row>
    <row r="92" spans="1:5">
      <c r="A92" s="40" t="s">
        <v>22</v>
      </c>
      <c r="B92" s="43" t="str">
        <f t="shared" si="5"/>
        <v>Pallet # 3</v>
      </c>
      <c r="C92" s="46" t="s">
        <v>95</v>
      </c>
      <c r="D92" s="49">
        <v>29.561499999999999</v>
      </c>
      <c r="E92" s="45">
        <f t="shared" si="4"/>
        <v>950.42291805000002</v>
      </c>
    </row>
    <row r="93" spans="1:5">
      <c r="A93" s="40" t="s">
        <v>22</v>
      </c>
      <c r="B93" s="43" t="str">
        <f t="shared" si="5"/>
        <v>Pallet # 3</v>
      </c>
      <c r="C93" s="46" t="s">
        <v>96</v>
      </c>
      <c r="D93" s="49">
        <v>29.574999999999999</v>
      </c>
      <c r="E93" s="45">
        <f t="shared" si="4"/>
        <v>950.85695250000003</v>
      </c>
    </row>
    <row r="94" spans="1:5">
      <c r="A94" s="40" t="s">
        <v>22</v>
      </c>
      <c r="B94" s="43" t="str">
        <f t="shared" si="5"/>
        <v>Pallet # 3</v>
      </c>
      <c r="C94" s="46" t="s">
        <v>97</v>
      </c>
      <c r="D94" s="49">
        <v>29.572700000000001</v>
      </c>
      <c r="E94" s="45">
        <f t="shared" si="4"/>
        <v>950.78300589000003</v>
      </c>
    </row>
    <row r="95" spans="1:5">
      <c r="A95" s="40" t="s">
        <v>22</v>
      </c>
      <c r="B95" s="43" t="str">
        <f t="shared" si="5"/>
        <v>Pallet # 3</v>
      </c>
      <c r="C95" s="46" t="s">
        <v>98</v>
      </c>
      <c r="D95" s="49">
        <v>29.567599999999999</v>
      </c>
      <c r="E95" s="45">
        <f t="shared" si="4"/>
        <v>950.61903731999996</v>
      </c>
    </row>
    <row r="96" spans="1:5">
      <c r="A96" s="40" t="s">
        <v>22</v>
      </c>
      <c r="B96" s="43" t="str">
        <f t="shared" si="5"/>
        <v>Pallet # 3</v>
      </c>
      <c r="C96" s="46" t="s">
        <v>99</v>
      </c>
      <c r="D96" s="49">
        <v>29.578599999999998</v>
      </c>
      <c r="E96" s="45">
        <f t="shared" si="4"/>
        <v>950.97269501999995</v>
      </c>
    </row>
    <row r="97" spans="1:5">
      <c r="A97" s="40" t="s">
        <v>22</v>
      </c>
      <c r="B97" s="43" t="str">
        <f t="shared" si="5"/>
        <v>Pallet # 3</v>
      </c>
      <c r="C97" s="46" t="s">
        <v>100</v>
      </c>
      <c r="D97" s="49">
        <v>29.5609</v>
      </c>
      <c r="E97" s="45">
        <f t="shared" si="4"/>
        <v>950.40362763000007</v>
      </c>
    </row>
    <row r="98" spans="1:5">
      <c r="A98" s="40" t="s">
        <v>22</v>
      </c>
      <c r="B98" s="43" t="str">
        <f t="shared" si="5"/>
        <v>Pallet # 3</v>
      </c>
      <c r="C98" s="46" t="s">
        <v>101</v>
      </c>
      <c r="D98" s="49">
        <v>29.548999999999999</v>
      </c>
      <c r="E98" s="45">
        <f t="shared" si="4"/>
        <v>950.0210343</v>
      </c>
    </row>
    <row r="99" spans="1:5">
      <c r="A99" s="40" t="s">
        <v>22</v>
      </c>
      <c r="B99" s="43" t="str">
        <f t="shared" si="5"/>
        <v>Pallet # 3</v>
      </c>
      <c r="C99" s="46" t="s">
        <v>102</v>
      </c>
      <c r="D99" s="49">
        <v>29.539400000000001</v>
      </c>
      <c r="E99" s="45">
        <f t="shared" si="4"/>
        <v>949.71238758000004</v>
      </c>
    </row>
    <row r="100" spans="1:5">
      <c r="A100" s="40" t="s">
        <v>22</v>
      </c>
      <c r="B100" s="43" t="str">
        <f t="shared" si="5"/>
        <v>Pallet # 3</v>
      </c>
      <c r="C100" s="46" t="s">
        <v>103</v>
      </c>
      <c r="D100" s="49">
        <v>29.609900000000003</v>
      </c>
      <c r="E100" s="45">
        <f t="shared" si="4"/>
        <v>951.97901193000007</v>
      </c>
    </row>
    <row r="101" spans="1:5">
      <c r="A101" s="40" t="s">
        <v>22</v>
      </c>
      <c r="B101" s="43" t="str">
        <f t="shared" si="5"/>
        <v>Pallet # 3</v>
      </c>
      <c r="C101" s="46" t="s">
        <v>104</v>
      </c>
      <c r="D101" s="49">
        <v>29.586500000000001</v>
      </c>
      <c r="E101" s="45">
        <f t="shared" si="4"/>
        <v>951.22668555000007</v>
      </c>
    </row>
    <row r="102" spans="1:5">
      <c r="A102" s="40" t="s">
        <v>22</v>
      </c>
      <c r="B102" s="43" t="str">
        <f t="shared" si="5"/>
        <v>Pallet # 3</v>
      </c>
      <c r="C102" s="46" t="s">
        <v>105</v>
      </c>
      <c r="D102" s="49">
        <v>29.56</v>
      </c>
      <c r="E102" s="45">
        <f t="shared" si="4"/>
        <v>950.37469199999998</v>
      </c>
    </row>
    <row r="103" spans="1:5">
      <c r="A103" s="40" t="s">
        <v>22</v>
      </c>
      <c r="B103" s="43" t="str">
        <f t="shared" si="5"/>
        <v>Pallet # 3</v>
      </c>
      <c r="C103" s="46" t="s">
        <v>106</v>
      </c>
      <c r="D103" s="49">
        <v>29.552700000000002</v>
      </c>
      <c r="E103" s="45">
        <f t="shared" si="4"/>
        <v>950.13999189000003</v>
      </c>
    </row>
    <row r="104" spans="1:5">
      <c r="A104" s="40" t="s">
        <v>22</v>
      </c>
      <c r="B104" s="43" t="str">
        <f t="shared" si="5"/>
        <v>Pallet # 3</v>
      </c>
      <c r="C104" s="46" t="s">
        <v>107</v>
      </c>
      <c r="D104" s="49">
        <v>29.552499999999998</v>
      </c>
      <c r="E104" s="45">
        <f t="shared" si="4"/>
        <v>950.13356175000001</v>
      </c>
    </row>
    <row r="105" spans="1:5">
      <c r="A105" s="40" t="s">
        <v>22</v>
      </c>
      <c r="B105" s="43" t="str">
        <f t="shared" si="5"/>
        <v>Pallet # 3</v>
      </c>
      <c r="C105" s="46" t="s">
        <v>108</v>
      </c>
      <c r="D105" s="49">
        <v>29.5519</v>
      </c>
      <c r="E105" s="45">
        <f t="shared" si="4"/>
        <v>950.11427133000007</v>
      </c>
    </row>
    <row r="106" spans="1:5">
      <c r="A106" s="40" t="s">
        <v>22</v>
      </c>
      <c r="B106" s="43" t="str">
        <f t="shared" si="5"/>
        <v>Pallet # 3</v>
      </c>
      <c r="C106" s="46" t="s">
        <v>109</v>
      </c>
      <c r="D106" s="49">
        <v>29.564</v>
      </c>
      <c r="E106" s="45">
        <f t="shared" si="4"/>
        <v>950.50329480000005</v>
      </c>
    </row>
    <row r="107" spans="1:5">
      <c r="A107" s="40" t="s">
        <v>22</v>
      </c>
      <c r="B107" s="43" t="str">
        <f t="shared" si="5"/>
        <v>Pallet # 3</v>
      </c>
      <c r="C107" s="46" t="s">
        <v>110</v>
      </c>
      <c r="D107" s="49">
        <v>29.5503</v>
      </c>
      <c r="E107" s="45">
        <f t="shared" si="4"/>
        <v>950.06283021000002</v>
      </c>
    </row>
    <row r="108" spans="1:5">
      <c r="A108" s="40" t="s">
        <v>22</v>
      </c>
      <c r="B108" s="43" t="str">
        <f t="shared" si="5"/>
        <v>Pallet # 3</v>
      </c>
      <c r="C108" s="46" t="s">
        <v>111</v>
      </c>
      <c r="D108" s="49">
        <v>29.6402</v>
      </c>
      <c r="E108" s="45">
        <f t="shared" si="4"/>
        <v>952.95317813999998</v>
      </c>
    </row>
    <row r="109" spans="1:5">
      <c r="A109" s="40" t="s">
        <v>22</v>
      </c>
      <c r="B109" s="43" t="str">
        <f t="shared" si="5"/>
        <v>Pallet # 3</v>
      </c>
      <c r="C109" s="46" t="s">
        <v>112</v>
      </c>
      <c r="D109" s="49">
        <v>29.5318</v>
      </c>
      <c r="E109" s="45">
        <f t="shared" si="4"/>
        <v>949.46804226000006</v>
      </c>
    </row>
    <row r="110" spans="1:5">
      <c r="A110" s="40" t="s">
        <v>22</v>
      </c>
      <c r="B110" s="43" t="str">
        <f t="shared" si="5"/>
        <v>Pallet # 3</v>
      </c>
      <c r="C110" s="46" t="s">
        <v>113</v>
      </c>
      <c r="D110" s="49">
        <v>29.5244</v>
      </c>
      <c r="E110" s="45">
        <f t="shared" si="4"/>
        <v>949.23012707999999</v>
      </c>
    </row>
    <row r="111" spans="1:5">
      <c r="A111" s="40" t="s">
        <v>22</v>
      </c>
      <c r="B111" s="43" t="str">
        <f t="shared" si="5"/>
        <v>Pallet # 3</v>
      </c>
      <c r="C111" s="46" t="s">
        <v>114</v>
      </c>
      <c r="D111" s="49">
        <v>29.532799999999998</v>
      </c>
      <c r="E111" s="45">
        <f t="shared" si="4"/>
        <v>949.50019295999994</v>
      </c>
    </row>
    <row r="112" spans="1:5">
      <c r="A112" s="40" t="s">
        <v>22</v>
      </c>
      <c r="B112" s="43" t="str">
        <f t="shared" si="5"/>
        <v>Pallet # 3</v>
      </c>
      <c r="C112" s="46" t="s">
        <v>115</v>
      </c>
      <c r="D112" s="49">
        <v>29.540599999999998</v>
      </c>
      <c r="E112" s="45">
        <f t="shared" si="4"/>
        <v>949.75096841999994</v>
      </c>
    </row>
    <row r="113" spans="1:5">
      <c r="A113" s="40" t="s">
        <v>22</v>
      </c>
      <c r="B113" s="43" t="str">
        <f t="shared" si="5"/>
        <v>Pallet # 3</v>
      </c>
      <c r="C113" s="46" t="s">
        <v>116</v>
      </c>
      <c r="D113" s="49">
        <v>29.607400000000002</v>
      </c>
      <c r="E113" s="45">
        <f t="shared" si="4"/>
        <v>951.89863518000004</v>
      </c>
    </row>
    <row r="114" spans="1:5">
      <c r="A114" s="40" t="s">
        <v>22</v>
      </c>
      <c r="B114" s="43" t="str">
        <f t="shared" si="5"/>
        <v>Pallet # 3</v>
      </c>
      <c r="C114" s="46" t="s">
        <v>117</v>
      </c>
      <c r="D114" s="49">
        <v>29.564499999999999</v>
      </c>
      <c r="E114" s="45">
        <f t="shared" si="4"/>
        <v>950.51937014999999</v>
      </c>
    </row>
    <row r="115" spans="1:5">
      <c r="A115" s="40" t="s">
        <v>22</v>
      </c>
      <c r="B115" s="43" t="str">
        <f t="shared" si="5"/>
        <v>Pallet # 3</v>
      </c>
      <c r="C115" s="46" t="s">
        <v>118</v>
      </c>
      <c r="D115" s="49">
        <v>29.564900000000002</v>
      </c>
      <c r="E115" s="45">
        <f t="shared" si="4"/>
        <v>950.53223043000003</v>
      </c>
    </row>
    <row r="116" spans="1:5">
      <c r="A116" s="40" t="s">
        <v>22</v>
      </c>
      <c r="B116" s="43" t="str">
        <f t="shared" si="5"/>
        <v>Pallet # 3</v>
      </c>
      <c r="C116" s="46" t="s">
        <v>119</v>
      </c>
      <c r="D116" s="49">
        <v>29.563700000000001</v>
      </c>
      <c r="E116" s="45">
        <f t="shared" si="4"/>
        <v>950.49364959000002</v>
      </c>
    </row>
    <row r="117" spans="1:5">
      <c r="A117" s="40" t="s">
        <v>22</v>
      </c>
      <c r="B117" s="43" t="str">
        <f t="shared" si="5"/>
        <v>Pallet # 3</v>
      </c>
      <c r="C117" s="46" t="s">
        <v>120</v>
      </c>
      <c r="D117" s="49">
        <v>29.545300000000001</v>
      </c>
      <c r="E117" s="45">
        <f t="shared" si="4"/>
        <v>949.90207671000007</v>
      </c>
    </row>
    <row r="118" spans="1:5">
      <c r="A118" s="40" t="s">
        <v>22</v>
      </c>
      <c r="B118" s="43" t="str">
        <f t="shared" si="5"/>
        <v>Pallet # 3</v>
      </c>
      <c r="C118" s="46" t="s">
        <v>121</v>
      </c>
      <c r="D118" s="49">
        <v>29.5581</v>
      </c>
      <c r="E118" s="45">
        <f t="shared" si="4"/>
        <v>950.31360567000002</v>
      </c>
    </row>
    <row r="119" spans="1:5">
      <c r="A119" s="40" t="s">
        <v>22</v>
      </c>
      <c r="B119" s="43" t="str">
        <f t="shared" si="5"/>
        <v>Pallet # 3</v>
      </c>
      <c r="C119" s="46" t="s">
        <v>122</v>
      </c>
      <c r="D119" s="49">
        <v>29.539400000000001</v>
      </c>
      <c r="E119" s="45">
        <f t="shared" si="4"/>
        <v>949.71238758000004</v>
      </c>
    </row>
    <row r="120" spans="1:5">
      <c r="A120" s="40" t="s">
        <v>22</v>
      </c>
      <c r="B120" s="43" t="str">
        <f t="shared" si="5"/>
        <v>Pallet # 3</v>
      </c>
      <c r="C120" s="46" t="s">
        <v>123</v>
      </c>
      <c r="D120" s="49">
        <v>29.567700000000002</v>
      </c>
      <c r="E120" s="45">
        <f t="shared" si="4"/>
        <v>950.62225239000009</v>
      </c>
    </row>
    <row r="121" spans="1:5">
      <c r="A121" s="40" t="s">
        <v>22</v>
      </c>
      <c r="B121" s="43" t="str">
        <f t="shared" si="5"/>
        <v>Pallet # 3</v>
      </c>
      <c r="C121" s="46" t="s">
        <v>124</v>
      </c>
      <c r="D121" s="49">
        <v>29.591000000000001</v>
      </c>
      <c r="E121" s="45">
        <f t="shared" si="4"/>
        <v>951.37136370000007</v>
      </c>
    </row>
    <row r="122" spans="1:5">
      <c r="A122" s="40" t="s">
        <v>22</v>
      </c>
      <c r="B122" s="43" t="str">
        <f t="shared" si="5"/>
        <v>Pallet # 3</v>
      </c>
      <c r="C122" s="46" t="s">
        <v>125</v>
      </c>
      <c r="D122" s="49">
        <v>29.647599999999997</v>
      </c>
      <c r="E122" s="45">
        <f t="shared" si="4"/>
        <v>953.19109331999994</v>
      </c>
    </row>
    <row r="123" spans="1:5">
      <c r="A123" s="40" t="s">
        <v>22</v>
      </c>
      <c r="B123" s="39" t="s">
        <v>3</v>
      </c>
      <c r="C123" s="46" t="s">
        <v>126</v>
      </c>
      <c r="D123" s="49">
        <v>29.566599999999998</v>
      </c>
      <c r="E123" s="45">
        <f t="shared" si="4"/>
        <v>950.58688661999997</v>
      </c>
    </row>
    <row r="124" spans="1:5">
      <c r="A124" s="40" t="s">
        <v>22</v>
      </c>
      <c r="B124" s="43" t="str">
        <f t="shared" ref="B124:B156" si="6">B123</f>
        <v>Pallet # 4</v>
      </c>
      <c r="C124" s="46" t="s">
        <v>127</v>
      </c>
      <c r="D124" s="49">
        <v>29.536900000000003</v>
      </c>
      <c r="E124" s="45">
        <f t="shared" si="4"/>
        <v>949.63201083000013</v>
      </c>
    </row>
    <row r="125" spans="1:5">
      <c r="A125" s="40" t="s">
        <v>22</v>
      </c>
      <c r="B125" s="43" t="str">
        <f t="shared" si="6"/>
        <v>Pallet # 4</v>
      </c>
      <c r="C125" s="46" t="s">
        <v>128</v>
      </c>
      <c r="D125" s="49">
        <v>29.600900000000003</v>
      </c>
      <c r="E125" s="45">
        <f t="shared" si="4"/>
        <v>951.68965563000006</v>
      </c>
    </row>
    <row r="126" spans="1:5">
      <c r="A126" s="40" t="s">
        <v>22</v>
      </c>
      <c r="B126" s="43" t="str">
        <f t="shared" si="6"/>
        <v>Pallet # 4</v>
      </c>
      <c r="C126" s="46" t="s">
        <v>129</v>
      </c>
      <c r="D126" s="49">
        <v>29.567799999999998</v>
      </c>
      <c r="E126" s="45">
        <f t="shared" si="4"/>
        <v>950.62546745999998</v>
      </c>
    </row>
    <row r="127" spans="1:5">
      <c r="A127" s="40" t="s">
        <v>22</v>
      </c>
      <c r="B127" s="43" t="str">
        <f t="shared" si="6"/>
        <v>Pallet # 4</v>
      </c>
      <c r="C127" s="46" t="s">
        <v>130</v>
      </c>
      <c r="D127" s="49">
        <v>29.5642</v>
      </c>
      <c r="E127" s="45">
        <f t="shared" si="4"/>
        <v>950.50972493999996</v>
      </c>
    </row>
    <row r="128" spans="1:5">
      <c r="A128" s="40" t="s">
        <v>22</v>
      </c>
      <c r="B128" s="43" t="str">
        <f t="shared" si="6"/>
        <v>Pallet # 4</v>
      </c>
      <c r="C128" s="46" t="s">
        <v>131</v>
      </c>
      <c r="D128" s="49">
        <v>29.518599999999999</v>
      </c>
      <c r="E128" s="45">
        <f t="shared" si="4"/>
        <v>949.04365301999997</v>
      </c>
    </row>
    <row r="129" spans="1:5">
      <c r="A129" s="40" t="s">
        <v>22</v>
      </c>
      <c r="B129" s="43" t="str">
        <f t="shared" si="6"/>
        <v>Pallet # 4</v>
      </c>
      <c r="C129" s="46" t="s">
        <v>132</v>
      </c>
      <c r="D129" s="49">
        <v>29.585900000000002</v>
      </c>
      <c r="E129" s="45">
        <f t="shared" si="4"/>
        <v>951.20739513000012</v>
      </c>
    </row>
    <row r="130" spans="1:5">
      <c r="A130" s="40" t="s">
        <v>22</v>
      </c>
      <c r="B130" s="43" t="str">
        <f t="shared" si="6"/>
        <v>Pallet # 4</v>
      </c>
      <c r="C130" s="46" t="s">
        <v>133</v>
      </c>
      <c r="D130" s="49">
        <v>29.578799999999998</v>
      </c>
      <c r="E130" s="45">
        <f t="shared" si="4"/>
        <v>950.97912515999997</v>
      </c>
    </row>
    <row r="131" spans="1:5">
      <c r="A131" s="40" t="s">
        <v>22</v>
      </c>
      <c r="B131" s="43" t="str">
        <f t="shared" si="6"/>
        <v>Pallet # 4</v>
      </c>
      <c r="C131" s="46" t="s">
        <v>134</v>
      </c>
      <c r="D131" s="49">
        <v>29.534400000000002</v>
      </c>
      <c r="E131" s="45">
        <f t="shared" si="4"/>
        <v>949.5516340800001</v>
      </c>
    </row>
    <row r="132" spans="1:5">
      <c r="A132" s="40" t="s">
        <v>22</v>
      </c>
      <c r="B132" s="43" t="str">
        <f t="shared" si="6"/>
        <v>Pallet # 4</v>
      </c>
      <c r="C132" s="46" t="s">
        <v>135</v>
      </c>
      <c r="D132" s="49">
        <v>29.548200000000001</v>
      </c>
      <c r="E132" s="45">
        <f t="shared" si="4"/>
        <v>949.99531374000003</v>
      </c>
    </row>
    <row r="133" spans="1:5">
      <c r="A133" s="40" t="s">
        <v>22</v>
      </c>
      <c r="B133" s="43" t="str">
        <f t="shared" si="6"/>
        <v>Pallet # 4</v>
      </c>
      <c r="C133" s="46" t="s">
        <v>136</v>
      </c>
      <c r="D133" s="49">
        <v>29.572500000000002</v>
      </c>
      <c r="E133" s="45">
        <f t="shared" si="4"/>
        <v>950.77657575000012</v>
      </c>
    </row>
    <row r="134" spans="1:5">
      <c r="A134" s="40" t="s">
        <v>22</v>
      </c>
      <c r="B134" s="43" t="str">
        <f t="shared" si="6"/>
        <v>Pallet # 4</v>
      </c>
      <c r="C134" s="46" t="s">
        <v>137</v>
      </c>
      <c r="D134" s="49">
        <v>29.611999999999998</v>
      </c>
      <c r="E134" s="45">
        <f t="shared" si="4"/>
        <v>952.04652839999994</v>
      </c>
    </row>
    <row r="135" spans="1:5">
      <c r="A135" s="40" t="s">
        <v>22</v>
      </c>
      <c r="B135" s="43" t="str">
        <f t="shared" si="6"/>
        <v>Pallet # 4</v>
      </c>
      <c r="C135" s="46" t="s">
        <v>138</v>
      </c>
      <c r="D135" s="49">
        <v>29.508900000000001</v>
      </c>
      <c r="E135" s="45">
        <f t="shared" si="4"/>
        <v>948.73179123</v>
      </c>
    </row>
    <row r="136" spans="1:5">
      <c r="A136" s="40" t="s">
        <v>22</v>
      </c>
      <c r="B136" s="43" t="str">
        <f t="shared" si="6"/>
        <v>Pallet # 4</v>
      </c>
      <c r="C136" s="46" t="s">
        <v>139</v>
      </c>
      <c r="D136" s="49">
        <v>29.516099999999998</v>
      </c>
      <c r="E136" s="45">
        <f t="shared" si="4"/>
        <v>948.96327626999994</v>
      </c>
    </row>
    <row r="137" spans="1:5">
      <c r="A137" s="40" t="s">
        <v>22</v>
      </c>
      <c r="B137" s="43" t="str">
        <f t="shared" si="6"/>
        <v>Pallet # 4</v>
      </c>
      <c r="C137" s="46" t="s">
        <v>140</v>
      </c>
      <c r="D137" s="49">
        <v>29.5229</v>
      </c>
      <c r="E137" s="45">
        <f t="shared" si="4"/>
        <v>949.18190103000006</v>
      </c>
    </row>
    <row r="138" spans="1:5">
      <c r="A138" s="40" t="s">
        <v>22</v>
      </c>
      <c r="B138" s="43" t="str">
        <f t="shared" si="6"/>
        <v>Pallet # 4</v>
      </c>
      <c r="C138" s="46" t="s">
        <v>141</v>
      </c>
      <c r="D138" s="49">
        <v>29.5322</v>
      </c>
      <c r="E138" s="45">
        <f t="shared" si="4"/>
        <v>949.48090253999999</v>
      </c>
    </row>
    <row r="139" spans="1:5">
      <c r="A139" s="40" t="s">
        <v>22</v>
      </c>
      <c r="B139" s="43" t="str">
        <f t="shared" si="6"/>
        <v>Pallet # 4</v>
      </c>
      <c r="C139" s="46" t="s">
        <v>142</v>
      </c>
      <c r="D139" s="49">
        <v>29.5213</v>
      </c>
      <c r="E139" s="45">
        <f t="shared" si="4"/>
        <v>949.13045991000001</v>
      </c>
    </row>
    <row r="140" spans="1:5">
      <c r="A140" s="40" t="s">
        <v>22</v>
      </c>
      <c r="B140" s="43" t="str">
        <f t="shared" si="6"/>
        <v>Pallet # 4</v>
      </c>
      <c r="C140" s="46" t="s">
        <v>143</v>
      </c>
      <c r="D140" s="49">
        <v>29.565900000000003</v>
      </c>
      <c r="E140" s="45">
        <f t="shared" si="4"/>
        <v>950.56438113000013</v>
      </c>
    </row>
    <row r="141" spans="1:5">
      <c r="A141" s="40" t="s">
        <v>22</v>
      </c>
      <c r="B141" s="43" t="str">
        <f t="shared" si="6"/>
        <v>Pallet # 4</v>
      </c>
      <c r="C141" s="46" t="s">
        <v>144</v>
      </c>
      <c r="D141" s="49">
        <v>29.542200000000001</v>
      </c>
      <c r="E141" s="45">
        <f t="shared" si="4"/>
        <v>949.8024095400001</v>
      </c>
    </row>
    <row r="142" spans="1:5">
      <c r="A142" s="40" t="s">
        <v>22</v>
      </c>
      <c r="B142" s="43" t="str">
        <f t="shared" si="6"/>
        <v>Pallet # 4</v>
      </c>
      <c r="C142" s="46" t="s">
        <v>145</v>
      </c>
      <c r="D142" s="49">
        <v>29.537500000000001</v>
      </c>
      <c r="E142" s="45">
        <f t="shared" si="4"/>
        <v>949.65130125000007</v>
      </c>
    </row>
    <row r="143" spans="1:5">
      <c r="A143" s="40" t="s">
        <v>22</v>
      </c>
      <c r="B143" s="43" t="str">
        <f t="shared" si="6"/>
        <v>Pallet # 4</v>
      </c>
      <c r="C143" s="46" t="s">
        <v>146</v>
      </c>
      <c r="D143" s="49">
        <v>29.527999999999999</v>
      </c>
      <c r="E143" s="45">
        <f t="shared" si="4"/>
        <v>949.34586960000001</v>
      </c>
    </row>
    <row r="144" spans="1:5">
      <c r="A144" s="40" t="s">
        <v>22</v>
      </c>
      <c r="B144" s="43" t="str">
        <f t="shared" si="6"/>
        <v>Pallet # 4</v>
      </c>
      <c r="C144" s="46" t="s">
        <v>147</v>
      </c>
      <c r="D144" s="49">
        <v>29.551099999999998</v>
      </c>
      <c r="E144" s="45">
        <f t="shared" si="4"/>
        <v>950.08855076999998</v>
      </c>
    </row>
    <row r="145" spans="1:5">
      <c r="A145" s="40" t="s">
        <v>22</v>
      </c>
      <c r="B145" s="43" t="str">
        <f t="shared" si="6"/>
        <v>Pallet # 4</v>
      </c>
      <c r="C145" s="46" t="s">
        <v>148</v>
      </c>
      <c r="D145" s="49">
        <v>29.529400000000003</v>
      </c>
      <c r="E145" s="45">
        <f t="shared" si="4"/>
        <v>949.39088058000004</v>
      </c>
    </row>
    <row r="146" spans="1:5">
      <c r="A146" s="40" t="s">
        <v>22</v>
      </c>
      <c r="B146" s="43" t="str">
        <f t="shared" si="6"/>
        <v>Pallet # 4</v>
      </c>
      <c r="C146" s="46" t="s">
        <v>149</v>
      </c>
      <c r="D146" s="49">
        <v>29.53</v>
      </c>
      <c r="E146" s="45">
        <f t="shared" si="4"/>
        <v>949.4101710000001</v>
      </c>
    </row>
    <row r="147" spans="1:5">
      <c r="A147" s="40" t="s">
        <v>22</v>
      </c>
      <c r="B147" s="43" t="str">
        <f t="shared" si="6"/>
        <v>Pallet # 4</v>
      </c>
      <c r="C147" s="46" t="s">
        <v>150</v>
      </c>
      <c r="D147" s="49">
        <v>29.588799999999999</v>
      </c>
      <c r="E147" s="45">
        <f t="shared" si="4"/>
        <v>951.30063215999996</v>
      </c>
    </row>
    <row r="148" spans="1:5">
      <c r="A148" s="40" t="s">
        <v>22</v>
      </c>
      <c r="B148" s="43" t="str">
        <f t="shared" si="6"/>
        <v>Pallet # 4</v>
      </c>
      <c r="C148" s="46" t="s">
        <v>151</v>
      </c>
      <c r="D148" s="49">
        <v>29.567400000000003</v>
      </c>
      <c r="E148" s="45">
        <f t="shared" si="4"/>
        <v>950.61260718000005</v>
      </c>
    </row>
    <row r="149" spans="1:5">
      <c r="A149" s="40" t="s">
        <v>22</v>
      </c>
      <c r="B149" s="43" t="str">
        <f t="shared" si="6"/>
        <v>Pallet # 4</v>
      </c>
      <c r="C149" s="46" t="s">
        <v>152</v>
      </c>
      <c r="D149" s="49">
        <v>29.561499999999999</v>
      </c>
      <c r="E149" s="45">
        <f t="shared" si="4"/>
        <v>950.42291805000002</v>
      </c>
    </row>
    <row r="150" spans="1:5">
      <c r="A150" s="40" t="s">
        <v>22</v>
      </c>
      <c r="B150" s="43" t="str">
        <f t="shared" si="6"/>
        <v>Pallet # 4</v>
      </c>
      <c r="C150" s="46" t="s">
        <v>153</v>
      </c>
      <c r="D150" s="49">
        <v>29.533799999999999</v>
      </c>
      <c r="E150" s="45">
        <f t="shared" ref="E150:E156" si="7">D150*32.1507</f>
        <v>949.53234366000004</v>
      </c>
    </row>
    <row r="151" spans="1:5">
      <c r="A151" s="40" t="s">
        <v>22</v>
      </c>
      <c r="B151" s="43" t="str">
        <f t="shared" si="6"/>
        <v>Pallet # 4</v>
      </c>
      <c r="C151" s="46" t="s">
        <v>154</v>
      </c>
      <c r="D151" s="49">
        <v>29.533099999999997</v>
      </c>
      <c r="E151" s="45">
        <f t="shared" si="7"/>
        <v>949.50983816999997</v>
      </c>
    </row>
    <row r="152" spans="1:5">
      <c r="A152" s="40" t="s">
        <v>22</v>
      </c>
      <c r="B152" s="43" t="str">
        <f t="shared" si="6"/>
        <v>Pallet # 4</v>
      </c>
      <c r="C152" s="46" t="s">
        <v>155</v>
      </c>
      <c r="D152" s="49">
        <v>29.569200000000002</v>
      </c>
      <c r="E152" s="45">
        <f t="shared" si="7"/>
        <v>950.67047844000012</v>
      </c>
    </row>
    <row r="153" spans="1:5">
      <c r="A153" s="40" t="s">
        <v>22</v>
      </c>
      <c r="B153" s="43" t="str">
        <f t="shared" si="6"/>
        <v>Pallet # 4</v>
      </c>
      <c r="C153" s="46" t="s">
        <v>156</v>
      </c>
      <c r="D153" s="49">
        <v>29.558700000000002</v>
      </c>
      <c r="E153" s="45">
        <f t="shared" si="7"/>
        <v>950.33289609000008</v>
      </c>
    </row>
    <row r="154" spans="1:5">
      <c r="A154" s="40" t="s">
        <v>22</v>
      </c>
      <c r="B154" s="43" t="str">
        <f t="shared" si="6"/>
        <v>Pallet # 4</v>
      </c>
      <c r="C154" s="46" t="s">
        <v>157</v>
      </c>
      <c r="D154" s="49">
        <v>29.536099999999998</v>
      </c>
      <c r="E154" s="45">
        <f t="shared" si="7"/>
        <v>949.60629026999993</v>
      </c>
    </row>
    <row r="155" spans="1:5">
      <c r="A155" s="40" t="s">
        <v>22</v>
      </c>
      <c r="B155" s="46" t="str">
        <f t="shared" si="6"/>
        <v>Pallet # 4</v>
      </c>
      <c r="C155" s="46" t="s">
        <v>158</v>
      </c>
      <c r="D155" s="49">
        <v>29.5547</v>
      </c>
      <c r="E155" s="45">
        <f t="shared" si="7"/>
        <v>950.20429329000001</v>
      </c>
    </row>
    <row r="156" spans="1:5">
      <c r="A156" s="40" t="s">
        <v>22</v>
      </c>
      <c r="B156" s="46" t="str">
        <f t="shared" si="6"/>
        <v>Pallet # 4</v>
      </c>
      <c r="C156" s="46" t="s">
        <v>159</v>
      </c>
      <c r="D156" s="49">
        <v>29.529199999999999</v>
      </c>
      <c r="E156" s="45">
        <f t="shared" si="7"/>
        <v>949.38445044000002</v>
      </c>
    </row>
    <row r="157" spans="1:5">
      <c r="A157" s="40" t="s">
        <v>22</v>
      </c>
      <c r="B157" s="46" t="s">
        <v>16</v>
      </c>
      <c r="C157" s="46" t="s">
        <v>160</v>
      </c>
      <c r="D157" s="49">
        <v>29.530099999999997</v>
      </c>
      <c r="E157" s="45">
        <f t="shared" ref="E157:E175" si="8">D157*32.1507</f>
        <v>949.41338606999989</v>
      </c>
    </row>
    <row r="158" spans="1:5">
      <c r="A158" s="40" t="s">
        <v>22</v>
      </c>
      <c r="B158" s="46" t="str">
        <f t="shared" ref="B158:B190" si="9">B157</f>
        <v>Pallet # 8</v>
      </c>
      <c r="C158" s="46" t="s">
        <v>161</v>
      </c>
      <c r="D158" s="49">
        <v>29.5108</v>
      </c>
      <c r="E158" s="45">
        <f t="shared" si="8"/>
        <v>948.79287755999997</v>
      </c>
    </row>
    <row r="159" spans="1:5">
      <c r="A159" s="40" t="s">
        <v>22</v>
      </c>
      <c r="B159" s="46" t="str">
        <f t="shared" si="9"/>
        <v>Pallet # 8</v>
      </c>
      <c r="C159" s="46" t="s">
        <v>162</v>
      </c>
      <c r="D159" s="49">
        <v>29.535799999999998</v>
      </c>
      <c r="E159" s="45">
        <f t="shared" si="8"/>
        <v>949.59664506000001</v>
      </c>
    </row>
    <row r="160" spans="1:5">
      <c r="A160" s="40" t="s">
        <v>22</v>
      </c>
      <c r="B160" s="46" t="str">
        <f t="shared" si="9"/>
        <v>Pallet # 8</v>
      </c>
      <c r="C160" s="46" t="s">
        <v>163</v>
      </c>
      <c r="D160" s="49">
        <v>29.529599999999999</v>
      </c>
      <c r="E160" s="45">
        <f t="shared" si="8"/>
        <v>949.39731071999995</v>
      </c>
    </row>
    <row r="161" spans="1:5">
      <c r="A161" s="40" t="s">
        <v>22</v>
      </c>
      <c r="B161" s="46" t="str">
        <f t="shared" si="9"/>
        <v>Pallet # 8</v>
      </c>
      <c r="C161" s="46" t="s">
        <v>164</v>
      </c>
      <c r="D161" s="49">
        <v>29.5608</v>
      </c>
      <c r="E161" s="45">
        <f t="shared" si="8"/>
        <v>950.40041256000006</v>
      </c>
    </row>
    <row r="162" spans="1:5">
      <c r="A162" s="40" t="s">
        <v>22</v>
      </c>
      <c r="B162" s="46" t="str">
        <f t="shared" si="9"/>
        <v>Pallet # 8</v>
      </c>
      <c r="C162" s="46" t="s">
        <v>165</v>
      </c>
      <c r="D162" s="49">
        <v>29.532299999999999</v>
      </c>
      <c r="E162" s="45">
        <f t="shared" si="8"/>
        <v>949.48411761</v>
      </c>
    </row>
    <row r="163" spans="1:5">
      <c r="A163" s="40" t="s">
        <v>22</v>
      </c>
      <c r="B163" s="46" t="str">
        <f t="shared" si="9"/>
        <v>Pallet # 8</v>
      </c>
      <c r="C163" s="46" t="s">
        <v>166</v>
      </c>
      <c r="D163" s="49">
        <v>29.646999999999998</v>
      </c>
      <c r="E163" s="45">
        <f t="shared" si="8"/>
        <v>953.17180289999999</v>
      </c>
    </row>
    <row r="164" spans="1:5">
      <c r="A164" s="40" t="s">
        <v>22</v>
      </c>
      <c r="B164" s="46" t="str">
        <f t="shared" si="9"/>
        <v>Pallet # 8</v>
      </c>
      <c r="C164" s="46" t="s">
        <v>167</v>
      </c>
      <c r="D164" s="49">
        <v>29.655200000000001</v>
      </c>
      <c r="E164" s="45">
        <f t="shared" si="8"/>
        <v>953.43543864000003</v>
      </c>
    </row>
    <row r="165" spans="1:5">
      <c r="A165" s="40" t="s">
        <v>22</v>
      </c>
      <c r="B165" s="46" t="str">
        <f t="shared" si="9"/>
        <v>Pallet # 8</v>
      </c>
      <c r="C165" s="46" t="s">
        <v>168</v>
      </c>
      <c r="D165" s="49">
        <v>29.556000000000001</v>
      </c>
      <c r="E165" s="45">
        <f t="shared" si="8"/>
        <v>950.24608920000003</v>
      </c>
    </row>
    <row r="166" spans="1:5">
      <c r="A166" s="40" t="s">
        <v>22</v>
      </c>
      <c r="B166" s="46" t="str">
        <f t="shared" si="9"/>
        <v>Pallet # 8</v>
      </c>
      <c r="C166" s="46" t="s">
        <v>169</v>
      </c>
      <c r="D166" s="49">
        <v>29.545200000000001</v>
      </c>
      <c r="E166" s="45">
        <f t="shared" si="8"/>
        <v>949.89886164000006</v>
      </c>
    </row>
    <row r="167" spans="1:5">
      <c r="A167" s="40" t="s">
        <v>22</v>
      </c>
      <c r="B167" s="46" t="str">
        <f t="shared" si="9"/>
        <v>Pallet # 8</v>
      </c>
      <c r="C167" s="46" t="s">
        <v>170</v>
      </c>
      <c r="D167" s="49">
        <v>29.548999999999999</v>
      </c>
      <c r="E167" s="45">
        <f t="shared" si="8"/>
        <v>950.0210343</v>
      </c>
    </row>
    <row r="168" spans="1:5">
      <c r="A168" s="40" t="s">
        <v>22</v>
      </c>
      <c r="B168" s="46" t="str">
        <f t="shared" si="9"/>
        <v>Pallet # 8</v>
      </c>
      <c r="C168" s="46" t="s">
        <v>171</v>
      </c>
      <c r="D168" s="49">
        <v>29.5502</v>
      </c>
      <c r="E168" s="45">
        <f t="shared" si="8"/>
        <v>950.05961514000001</v>
      </c>
    </row>
    <row r="169" spans="1:5">
      <c r="A169" s="40" t="s">
        <v>22</v>
      </c>
      <c r="B169" s="46" t="str">
        <f t="shared" si="9"/>
        <v>Pallet # 8</v>
      </c>
      <c r="C169" s="46" t="s">
        <v>172</v>
      </c>
      <c r="D169" s="49">
        <v>29.532700000000002</v>
      </c>
      <c r="E169" s="45">
        <f t="shared" si="8"/>
        <v>949.49697789000004</v>
      </c>
    </row>
    <row r="170" spans="1:5">
      <c r="A170" s="40" t="s">
        <v>22</v>
      </c>
      <c r="B170" s="46" t="str">
        <f t="shared" si="9"/>
        <v>Pallet # 8</v>
      </c>
      <c r="C170" s="46" t="s">
        <v>173</v>
      </c>
      <c r="D170" s="49">
        <v>29.5167</v>
      </c>
      <c r="E170" s="45">
        <f t="shared" si="8"/>
        <v>948.98256669</v>
      </c>
    </row>
    <row r="171" spans="1:5">
      <c r="A171" s="40" t="s">
        <v>22</v>
      </c>
      <c r="B171" s="46" t="str">
        <f t="shared" si="9"/>
        <v>Pallet # 8</v>
      </c>
      <c r="C171" s="46" t="s">
        <v>174</v>
      </c>
      <c r="D171" s="49">
        <v>29.515799999999999</v>
      </c>
      <c r="E171" s="45">
        <f t="shared" si="8"/>
        <v>948.95363106000002</v>
      </c>
    </row>
    <row r="172" spans="1:5">
      <c r="A172" s="40" t="s">
        <v>22</v>
      </c>
      <c r="B172" s="46" t="str">
        <f t="shared" si="9"/>
        <v>Pallet # 8</v>
      </c>
      <c r="C172" s="46" t="s">
        <v>175</v>
      </c>
      <c r="D172" s="49">
        <v>29.520199999999999</v>
      </c>
      <c r="E172" s="45">
        <f t="shared" si="8"/>
        <v>949.09509414000001</v>
      </c>
    </row>
    <row r="173" spans="1:5">
      <c r="A173" s="40" t="s">
        <v>22</v>
      </c>
      <c r="B173" s="46" t="str">
        <f t="shared" si="9"/>
        <v>Pallet # 8</v>
      </c>
      <c r="C173" s="46" t="s">
        <v>176</v>
      </c>
      <c r="D173" s="49">
        <v>29.499500000000001</v>
      </c>
      <c r="E173" s="45">
        <f t="shared" si="8"/>
        <v>948.42957465000006</v>
      </c>
    </row>
    <row r="174" spans="1:5">
      <c r="A174" s="40" t="s">
        <v>22</v>
      </c>
      <c r="B174" s="46" t="str">
        <f t="shared" si="9"/>
        <v>Pallet # 8</v>
      </c>
      <c r="C174" s="46" t="s">
        <v>177</v>
      </c>
      <c r="D174" s="49">
        <v>29.534400000000002</v>
      </c>
      <c r="E174" s="45">
        <f t="shared" si="8"/>
        <v>949.5516340800001</v>
      </c>
    </row>
    <row r="175" spans="1:5">
      <c r="A175" s="40" t="s">
        <v>22</v>
      </c>
      <c r="B175" s="46" t="str">
        <f t="shared" si="9"/>
        <v>Pallet # 8</v>
      </c>
      <c r="C175" s="46" t="s">
        <v>178</v>
      </c>
      <c r="D175" s="49">
        <v>29.509799999999998</v>
      </c>
      <c r="E175" s="45">
        <f t="shared" si="8"/>
        <v>948.76072685999998</v>
      </c>
    </row>
    <row r="176" spans="1:5">
      <c r="A176" s="40" t="s">
        <v>22</v>
      </c>
      <c r="B176" s="46" t="str">
        <f t="shared" si="9"/>
        <v>Pallet # 8</v>
      </c>
      <c r="C176" s="46" t="s">
        <v>179</v>
      </c>
      <c r="D176" s="49">
        <v>29.541400000000003</v>
      </c>
      <c r="E176" s="45">
        <f t="shared" ref="E176:E190" si="10">D176*32.1507</f>
        <v>949.77668898000013</v>
      </c>
    </row>
    <row r="177" spans="1:5">
      <c r="A177" s="40" t="s">
        <v>22</v>
      </c>
      <c r="B177" s="46" t="str">
        <f t="shared" si="9"/>
        <v>Pallet # 8</v>
      </c>
      <c r="C177" s="46" t="s">
        <v>180</v>
      </c>
      <c r="D177" s="49">
        <v>29.532</v>
      </c>
      <c r="E177" s="45">
        <f t="shared" si="10"/>
        <v>949.47447239999997</v>
      </c>
    </row>
    <row r="178" spans="1:5">
      <c r="A178" s="40" t="s">
        <v>22</v>
      </c>
      <c r="B178" s="46" t="str">
        <f t="shared" si="9"/>
        <v>Pallet # 8</v>
      </c>
      <c r="C178" s="46" t="s">
        <v>181</v>
      </c>
      <c r="D178" s="49">
        <v>29.512400000000003</v>
      </c>
      <c r="E178" s="45">
        <f t="shared" si="10"/>
        <v>948.84431868000013</v>
      </c>
    </row>
    <row r="179" spans="1:5">
      <c r="A179" s="40" t="s">
        <v>22</v>
      </c>
      <c r="B179" s="46" t="str">
        <f t="shared" si="9"/>
        <v>Pallet # 8</v>
      </c>
      <c r="C179" s="46" t="s">
        <v>182</v>
      </c>
      <c r="D179" s="49">
        <v>29.509900000000002</v>
      </c>
      <c r="E179" s="45">
        <f t="shared" si="10"/>
        <v>948.7639419300001</v>
      </c>
    </row>
    <row r="180" spans="1:5">
      <c r="A180" s="40" t="s">
        <v>22</v>
      </c>
      <c r="B180" s="46" t="str">
        <f t="shared" si="9"/>
        <v>Pallet # 8</v>
      </c>
      <c r="C180" s="46" t="s">
        <v>183</v>
      </c>
      <c r="D180" s="49">
        <v>29.515999999999998</v>
      </c>
      <c r="E180" s="45">
        <f t="shared" si="10"/>
        <v>948.96006119999993</v>
      </c>
    </row>
    <row r="181" spans="1:5">
      <c r="A181" s="40" t="s">
        <v>22</v>
      </c>
      <c r="B181" s="46" t="str">
        <f t="shared" si="9"/>
        <v>Pallet # 8</v>
      </c>
      <c r="C181" s="46" t="s">
        <v>184</v>
      </c>
      <c r="D181" s="49">
        <v>29.528299999999998</v>
      </c>
      <c r="E181" s="45">
        <f t="shared" si="10"/>
        <v>949.35551480999993</v>
      </c>
    </row>
    <row r="182" spans="1:5">
      <c r="A182" s="40" t="s">
        <v>22</v>
      </c>
      <c r="B182" s="46" t="str">
        <f t="shared" si="9"/>
        <v>Pallet # 8</v>
      </c>
      <c r="C182" s="46" t="s">
        <v>185</v>
      </c>
      <c r="D182" s="49">
        <v>29.532799999999998</v>
      </c>
      <c r="E182" s="45">
        <f t="shared" si="10"/>
        <v>949.50019295999994</v>
      </c>
    </row>
    <row r="183" spans="1:5">
      <c r="A183" s="40" t="s">
        <v>22</v>
      </c>
      <c r="B183" s="46" t="str">
        <f t="shared" si="9"/>
        <v>Pallet # 8</v>
      </c>
      <c r="C183" s="46" t="s">
        <v>186</v>
      </c>
      <c r="D183" s="49">
        <v>29.546900000000001</v>
      </c>
      <c r="E183" s="45">
        <f t="shared" si="10"/>
        <v>949.95351783000001</v>
      </c>
    </row>
    <row r="184" spans="1:5">
      <c r="A184" s="40" t="s">
        <v>22</v>
      </c>
      <c r="B184" s="46" t="str">
        <f t="shared" si="9"/>
        <v>Pallet # 8</v>
      </c>
      <c r="C184" s="46" t="s">
        <v>187</v>
      </c>
      <c r="D184" s="49">
        <v>29.5425</v>
      </c>
      <c r="E184" s="45">
        <f t="shared" si="10"/>
        <v>949.81205475000002</v>
      </c>
    </row>
    <row r="185" spans="1:5">
      <c r="A185" s="40" t="s">
        <v>22</v>
      </c>
      <c r="B185" s="46" t="str">
        <f t="shared" si="9"/>
        <v>Pallet # 8</v>
      </c>
      <c r="C185" s="46" t="s">
        <v>188</v>
      </c>
      <c r="D185" s="49">
        <v>29.5304</v>
      </c>
      <c r="E185" s="45">
        <f t="shared" si="10"/>
        <v>949.42303128000003</v>
      </c>
    </row>
    <row r="186" spans="1:5">
      <c r="A186" s="40" t="s">
        <v>22</v>
      </c>
      <c r="B186" s="46" t="str">
        <f t="shared" si="9"/>
        <v>Pallet # 8</v>
      </c>
      <c r="C186" s="46" t="s">
        <v>189</v>
      </c>
      <c r="D186" s="49">
        <v>29.657700000000002</v>
      </c>
      <c r="E186" s="45">
        <f t="shared" si="10"/>
        <v>953.51581539000006</v>
      </c>
    </row>
    <row r="187" spans="1:5">
      <c r="A187" s="40" t="s">
        <v>22</v>
      </c>
      <c r="B187" s="46" t="str">
        <f t="shared" si="9"/>
        <v>Pallet # 8</v>
      </c>
      <c r="C187" s="46" t="s">
        <v>190</v>
      </c>
      <c r="D187" s="49">
        <v>29.5425</v>
      </c>
      <c r="E187" s="45">
        <f t="shared" si="10"/>
        <v>949.81205475000002</v>
      </c>
    </row>
    <row r="188" spans="1:5">
      <c r="A188" s="40" t="s">
        <v>22</v>
      </c>
      <c r="B188" s="46" t="str">
        <f t="shared" si="9"/>
        <v>Pallet # 8</v>
      </c>
      <c r="C188" s="46" t="s">
        <v>191</v>
      </c>
      <c r="D188" s="49">
        <v>29.491400000000002</v>
      </c>
      <c r="E188" s="45">
        <f t="shared" si="10"/>
        <v>948.16915398000003</v>
      </c>
    </row>
    <row r="189" spans="1:5">
      <c r="A189" s="40" t="s">
        <v>22</v>
      </c>
      <c r="B189" s="46" t="str">
        <f t="shared" si="9"/>
        <v>Pallet # 8</v>
      </c>
      <c r="C189" s="46" t="s">
        <v>192</v>
      </c>
      <c r="D189" s="49">
        <v>29.551599999999997</v>
      </c>
      <c r="E189" s="45">
        <f t="shared" si="10"/>
        <v>950.10462611999992</v>
      </c>
    </row>
    <row r="190" spans="1:5">
      <c r="A190" s="40" t="s">
        <v>22</v>
      </c>
      <c r="B190" s="46" t="str">
        <f t="shared" si="9"/>
        <v>Pallet # 8</v>
      </c>
      <c r="C190" s="46" t="s">
        <v>193</v>
      </c>
      <c r="D190" s="49">
        <v>29.555599999999998</v>
      </c>
      <c r="E190" s="45">
        <f t="shared" si="10"/>
        <v>950.23322891999999</v>
      </c>
    </row>
  </sheetData>
  <protectedRanges>
    <protectedRange sqref="C21:C35" name="区域1_1_54_1_1_1"/>
    <protectedRange sqref="C52:C66" name="区域1_1_54_3_1_1"/>
  </protectedRanges>
  <phoneticPr fontId="8" type="noConversion"/>
  <conditionalFormatting sqref="C21:C190">
    <cfRule type="duplicateValues" dxfId="0" priority="6" stopIfTrue="1"/>
  </conditionalFormatting>
  <pageMargins left="0.7" right="0.7" top="0.75" bottom="0.75" header="0.3" footer="0.3"/>
  <pageSetup paperSize="9" orientation="portrait" r:id="rId1"/>
  <rowBreaks count="5" manualBreakCount="5">
    <brk id="19" max="16383" man="1"/>
    <brk id="54" max="16383" man="1"/>
    <brk id="88" max="16383" man="1"/>
    <brk id="122" max="16383" man="1"/>
    <brk id="156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5C6FB-8BEA-47A4-97E9-DEDA40BDE342}">
  <sheetPr codeName="Sheet2"/>
  <dimension ref="A2:H51"/>
  <sheetViews>
    <sheetView tabSelected="1" view="pageBreakPreview" zoomScale="85" zoomScaleNormal="85" zoomScaleSheetLayoutView="85" workbookViewId="0">
      <selection activeCell="D11" sqref="D11"/>
    </sheetView>
  </sheetViews>
  <sheetFormatPr defaultColWidth="16.81640625" defaultRowHeight="17"/>
  <cols>
    <col min="1" max="1" width="17" style="6" bestFit="1" customWidth="1"/>
    <col min="2" max="2" width="20.1796875" style="21" bestFit="1" customWidth="1"/>
    <col min="3" max="3" width="17.26953125" style="3" bestFit="1" customWidth="1"/>
    <col min="4" max="4" width="20.1796875" style="25" bestFit="1" customWidth="1"/>
    <col min="5" max="6" width="16.81640625" style="14"/>
    <col min="7" max="16384" width="16.81640625" style="1"/>
  </cols>
  <sheetData>
    <row r="2" spans="1:8">
      <c r="A2" s="7" t="str">
        <f>'Silver bar list_'!A2</f>
        <v>Brink's ref. no.</v>
      </c>
      <c r="B2" s="22" t="str">
        <f>'Silver bar list_'!B2</f>
        <v>Pallet no.</v>
      </c>
      <c r="C2" s="8" t="str">
        <f>'Silver bar list_'!C2</f>
        <v>No. of bars</v>
      </c>
      <c r="D2" s="22" t="str">
        <f>'Silver bar list_'!D2</f>
        <v>Net weight (kg)</v>
      </c>
    </row>
    <row r="3" spans="1:8">
      <c r="A3" s="53" t="str">
        <f>'Silver bar list_'!A4</f>
        <v>AG43454</v>
      </c>
      <c r="B3" s="54" t="s">
        <v>2</v>
      </c>
      <c r="C3" s="55">
        <f>D9</f>
        <v>34</v>
      </c>
      <c r="D3" s="56">
        <f>C28</f>
        <v>1005.5213999999999</v>
      </c>
    </row>
    <row r="4" spans="1:8">
      <c r="A4" s="2" t="str">
        <f>'Silver bar list_'!A10</f>
        <v>AG43454</v>
      </c>
      <c r="B4" s="23" t="s">
        <v>4</v>
      </c>
      <c r="C4" s="20">
        <f>D32</f>
        <v>34</v>
      </c>
      <c r="D4" s="50">
        <f>C51</f>
        <v>1004.4224999999999</v>
      </c>
    </row>
    <row r="5" spans="1:8" s="3" customFormat="1">
      <c r="A5" s="27" t="s">
        <v>12</v>
      </c>
      <c r="B5" s="26">
        <f>COUNTA(B3:B4)</f>
        <v>2</v>
      </c>
      <c r="C5" s="9">
        <f>SUM(C3:C4)</f>
        <v>68</v>
      </c>
      <c r="D5" s="51">
        <f>SUM(D3:D4)</f>
        <v>2009.9438999999998</v>
      </c>
      <c r="E5" s="15"/>
      <c r="F5" s="15"/>
    </row>
    <row r="6" spans="1:8" s="3" customFormat="1">
      <c r="B6" s="21"/>
      <c r="D6" s="25"/>
      <c r="E6" s="15"/>
      <c r="F6" s="15"/>
    </row>
    <row r="7" spans="1:8" s="3" customFormat="1">
      <c r="B7" s="21"/>
      <c r="D7" s="25"/>
      <c r="E7" s="15"/>
      <c r="F7" s="15"/>
    </row>
    <row r="8" spans="1:8">
      <c r="A8" s="4"/>
      <c r="B8" s="24"/>
      <c r="G8" s="3"/>
      <c r="H8" s="3"/>
    </row>
    <row r="9" spans="1:8">
      <c r="A9" s="10" t="str">
        <f>A3</f>
        <v>AG43454</v>
      </c>
      <c r="B9" s="11" t="str">
        <f>B3</f>
        <v>Pallet # 2</v>
      </c>
      <c r="C9" s="10" t="s">
        <v>14</v>
      </c>
      <c r="D9" s="19">
        <f>COUNT(B11:B27,D11:D27)</f>
        <v>34</v>
      </c>
    </row>
    <row r="10" spans="1:8">
      <c r="A10" s="12" t="s">
        <v>6</v>
      </c>
      <c r="B10" s="13" t="s">
        <v>7</v>
      </c>
      <c r="C10" s="12" t="s">
        <v>6</v>
      </c>
      <c r="D10" s="13" t="s">
        <v>7</v>
      </c>
    </row>
    <row r="11" spans="1:8">
      <c r="A11" s="5" t="str">
        <f>'Silver bar list_'!C55</f>
        <v>022609175</v>
      </c>
      <c r="B11" s="52">
        <f>'Silver bar list_'!D55</f>
        <v>29.6812</v>
      </c>
      <c r="C11" s="5" t="str">
        <f>'Silver bar list_'!C72</f>
        <v>022609192</v>
      </c>
      <c r="D11" s="52">
        <f>'Silver bar list_'!D72</f>
        <v>29.547400000000003</v>
      </c>
    </row>
    <row r="12" spans="1:8">
      <c r="A12" s="5" t="str">
        <f>'Silver bar list_'!C56</f>
        <v>022609176</v>
      </c>
      <c r="B12" s="52">
        <f>'Silver bar list_'!D56</f>
        <v>29.555900000000001</v>
      </c>
      <c r="C12" s="5" t="str">
        <f>'Silver bar list_'!C73</f>
        <v>022609193</v>
      </c>
      <c r="D12" s="52">
        <f>'Silver bar list_'!D73</f>
        <v>29.531299999999998</v>
      </c>
    </row>
    <row r="13" spans="1:8">
      <c r="A13" s="5" t="str">
        <f>'Silver bar list_'!C57</f>
        <v>022609177</v>
      </c>
      <c r="B13" s="52">
        <f>'Silver bar list_'!D57</f>
        <v>29.495099999999997</v>
      </c>
      <c r="C13" s="5" t="str">
        <f>'Silver bar list_'!C74</f>
        <v>022609194</v>
      </c>
      <c r="D13" s="52">
        <f>'Silver bar list_'!D74</f>
        <v>29.5367</v>
      </c>
    </row>
    <row r="14" spans="1:8">
      <c r="A14" s="5" t="str">
        <f>'Silver bar list_'!C58</f>
        <v>022609178</v>
      </c>
      <c r="B14" s="52">
        <f>'Silver bar list_'!D58</f>
        <v>29.542400000000001</v>
      </c>
      <c r="C14" s="5" t="str">
        <f>'Silver bar list_'!C75</f>
        <v>022609195</v>
      </c>
      <c r="D14" s="52">
        <f>'Silver bar list_'!D75</f>
        <v>29.562099999999997</v>
      </c>
    </row>
    <row r="15" spans="1:8">
      <c r="A15" s="5" t="str">
        <f>'Silver bar list_'!C59</f>
        <v>022609179</v>
      </c>
      <c r="B15" s="52">
        <f>'Silver bar list_'!D59</f>
        <v>29.514500000000002</v>
      </c>
      <c r="C15" s="5" t="str">
        <f>'Silver bar list_'!C76</f>
        <v>022609196</v>
      </c>
      <c r="D15" s="52">
        <f>'Silver bar list_'!D76</f>
        <v>29.608000000000001</v>
      </c>
    </row>
    <row r="16" spans="1:8">
      <c r="A16" s="5" t="str">
        <f>'Silver bar list_'!C60</f>
        <v>022609180</v>
      </c>
      <c r="B16" s="52">
        <f>'Silver bar list_'!D60</f>
        <v>29.538700000000002</v>
      </c>
      <c r="C16" s="5" t="str">
        <f>'Silver bar list_'!C77</f>
        <v>022610101</v>
      </c>
      <c r="D16" s="52">
        <f>'Silver bar list_'!D77</f>
        <v>29.707599999999999</v>
      </c>
    </row>
    <row r="17" spans="1:6">
      <c r="A17" s="5" t="str">
        <f>'Silver bar list_'!C61</f>
        <v>022609181</v>
      </c>
      <c r="B17" s="52">
        <f>'Silver bar list_'!D61</f>
        <v>29.552499999999998</v>
      </c>
      <c r="C17" s="5" t="str">
        <f>'Silver bar list_'!C78</f>
        <v>022610102</v>
      </c>
      <c r="D17" s="52">
        <f>'Silver bar list_'!D78</f>
        <v>29.557700000000001</v>
      </c>
    </row>
    <row r="18" spans="1:6">
      <c r="A18" s="5" t="str">
        <f>'Silver bar list_'!C62</f>
        <v>022609182</v>
      </c>
      <c r="B18" s="52">
        <f>'Silver bar list_'!D62</f>
        <v>29.545999999999999</v>
      </c>
      <c r="C18" s="5" t="str">
        <f>'Silver bar list_'!C79</f>
        <v>022610103</v>
      </c>
      <c r="D18" s="52">
        <f>'Silver bar list_'!D79</f>
        <v>29.569700000000001</v>
      </c>
    </row>
    <row r="19" spans="1:6">
      <c r="A19" s="5" t="str">
        <f>'Silver bar list_'!C63</f>
        <v>022609183</v>
      </c>
      <c r="B19" s="52">
        <f>'Silver bar list_'!D63</f>
        <v>29.516299999999998</v>
      </c>
      <c r="C19" s="5" t="str">
        <f>'Silver bar list_'!C80</f>
        <v>022610104</v>
      </c>
      <c r="D19" s="52">
        <f>'Silver bar list_'!D80</f>
        <v>29.5716</v>
      </c>
    </row>
    <row r="20" spans="1:6">
      <c r="A20" s="5" t="str">
        <f>'Silver bar list_'!C64</f>
        <v>022609184</v>
      </c>
      <c r="B20" s="52">
        <f>'Silver bar list_'!D64</f>
        <v>29.5411</v>
      </c>
      <c r="C20" s="5" t="str">
        <f>'Silver bar list_'!C81</f>
        <v>022610105</v>
      </c>
      <c r="D20" s="52">
        <f>'Silver bar list_'!D81</f>
        <v>29.598400000000002</v>
      </c>
    </row>
    <row r="21" spans="1:6">
      <c r="A21" s="5" t="str">
        <f>'Silver bar list_'!C65</f>
        <v>022609185</v>
      </c>
      <c r="B21" s="52">
        <f>'Silver bar list_'!D65</f>
        <v>29.680499999999999</v>
      </c>
      <c r="C21" s="5" t="str">
        <f>'Silver bar list_'!C82</f>
        <v>022610106</v>
      </c>
      <c r="D21" s="52">
        <f>'Silver bar list_'!D82</f>
        <v>29.5623</v>
      </c>
    </row>
    <row r="22" spans="1:6">
      <c r="A22" s="5" t="str">
        <f>'Silver bar list_'!C66</f>
        <v>022609186</v>
      </c>
      <c r="B22" s="52">
        <f>'Silver bar list_'!D66</f>
        <v>29.563200000000002</v>
      </c>
      <c r="C22" s="5" t="str">
        <f>'Silver bar list_'!C83</f>
        <v>022610107</v>
      </c>
      <c r="D22" s="52">
        <f>'Silver bar list_'!D83</f>
        <v>29.543700000000001</v>
      </c>
    </row>
    <row r="23" spans="1:6">
      <c r="A23" s="5" t="str">
        <f>'Silver bar list_'!C67</f>
        <v>022609187</v>
      </c>
      <c r="B23" s="52">
        <f>'Silver bar list_'!D67</f>
        <v>29.611599999999999</v>
      </c>
      <c r="C23" s="5" t="str">
        <f>'Silver bar list_'!C84</f>
        <v>022610108</v>
      </c>
      <c r="D23" s="52">
        <f>'Silver bar list_'!D84</f>
        <v>29.712900000000001</v>
      </c>
    </row>
    <row r="24" spans="1:6">
      <c r="A24" s="5" t="str">
        <f>'Silver bar list_'!C68</f>
        <v>022609188</v>
      </c>
      <c r="B24" s="52">
        <f>'Silver bar list_'!D68</f>
        <v>29.632099999999998</v>
      </c>
      <c r="C24" s="5" t="str">
        <f>'Silver bar list_'!C85</f>
        <v>022610109</v>
      </c>
      <c r="D24" s="52">
        <f>'Silver bar list_'!D85</f>
        <v>29.576599999999999</v>
      </c>
    </row>
    <row r="25" spans="1:6">
      <c r="A25" s="5" t="str">
        <f>'Silver bar list_'!C69</f>
        <v>022609189</v>
      </c>
      <c r="B25" s="52">
        <f>'Silver bar list_'!D69</f>
        <v>29.5688</v>
      </c>
      <c r="C25" s="5" t="str">
        <f>'Silver bar list_'!C86</f>
        <v>022610110</v>
      </c>
      <c r="D25" s="52">
        <f>'Silver bar list_'!D86</f>
        <v>29.564799999999998</v>
      </c>
    </row>
    <row r="26" spans="1:6">
      <c r="A26" s="5" t="str">
        <f>'Silver bar list_'!C70</f>
        <v>022609190</v>
      </c>
      <c r="B26" s="52">
        <f>'Silver bar list_'!D70</f>
        <v>29.5824</v>
      </c>
      <c r="C26" s="5" t="str">
        <f>'Silver bar list_'!C87</f>
        <v>022610111</v>
      </c>
      <c r="D26" s="52">
        <f>'Silver bar list_'!D87</f>
        <v>29.549499999999998</v>
      </c>
    </row>
    <row r="27" spans="1:6">
      <c r="A27" s="5" t="str">
        <f>'Silver bar list_'!C71</f>
        <v>022609191</v>
      </c>
      <c r="B27" s="52">
        <f>'Silver bar list_'!D71</f>
        <v>29.546599999999998</v>
      </c>
      <c r="C27" s="5" t="str">
        <f>'Silver bar list_'!C88</f>
        <v>022610112</v>
      </c>
      <c r="D27" s="52">
        <f>'Silver bar list_'!D88</f>
        <v>29.552199999999999</v>
      </c>
    </row>
    <row r="28" spans="1:6">
      <c r="A28" s="61" t="s">
        <v>20</v>
      </c>
      <c r="B28" s="61"/>
      <c r="C28" s="62">
        <f>SUM(B11:B27,D11:D27)</f>
        <v>1005.5213999999999</v>
      </c>
      <c r="D28" s="62"/>
    </row>
    <row r="29" spans="1:6" s="4" customFormat="1">
      <c r="B29" s="16"/>
      <c r="D29" s="17"/>
      <c r="E29" s="14"/>
      <c r="F29" s="14"/>
    </row>
    <row r="30" spans="1:6">
      <c r="B30" s="1"/>
      <c r="D30" s="18"/>
    </row>
    <row r="31" spans="1:6">
      <c r="B31" s="1"/>
      <c r="D31" s="18"/>
    </row>
    <row r="32" spans="1:6">
      <c r="A32" s="10" t="str">
        <f>A4</f>
        <v>AG43454</v>
      </c>
      <c r="B32" s="11" t="str">
        <f>B4</f>
        <v>Pallet # 8</v>
      </c>
      <c r="C32" s="10" t="s">
        <v>14</v>
      </c>
      <c r="D32" s="19">
        <f>COUNT(B34:B50,D34:D50)</f>
        <v>34</v>
      </c>
    </row>
    <row r="33" spans="1:4">
      <c r="A33" s="12" t="s">
        <v>6</v>
      </c>
      <c r="B33" s="13" t="s">
        <v>7</v>
      </c>
      <c r="C33" s="12" t="s">
        <v>6</v>
      </c>
      <c r="D33" s="13" t="s">
        <v>7</v>
      </c>
    </row>
    <row r="34" spans="1:4">
      <c r="A34" s="5" t="str">
        <f>'Silver bar list_'!C157</f>
        <v>022613106</v>
      </c>
      <c r="B34" s="52">
        <f>'Silver bar list_'!D157</f>
        <v>29.530099999999997</v>
      </c>
      <c r="C34" s="5" t="str">
        <f>'Silver bar list_'!C174</f>
        <v>022613124</v>
      </c>
      <c r="D34" s="52">
        <f>'Silver bar list_'!D174</f>
        <v>29.534400000000002</v>
      </c>
    </row>
    <row r="35" spans="1:4">
      <c r="A35" s="5" t="str">
        <f>'Silver bar list_'!C158</f>
        <v>022613107</v>
      </c>
      <c r="B35" s="52">
        <f>'Silver bar list_'!D158</f>
        <v>29.5108</v>
      </c>
      <c r="C35" s="5" t="str">
        <f>'Silver bar list_'!C175</f>
        <v>022613125</v>
      </c>
      <c r="D35" s="52">
        <f>'Silver bar list_'!D175</f>
        <v>29.509799999999998</v>
      </c>
    </row>
    <row r="36" spans="1:4">
      <c r="A36" s="5" t="str">
        <f>'Silver bar list_'!C159</f>
        <v>022613108</v>
      </c>
      <c r="B36" s="52">
        <f>'Silver bar list_'!D159</f>
        <v>29.535799999999998</v>
      </c>
      <c r="C36" s="5" t="str">
        <f>'Silver bar list_'!C176</f>
        <v>022613126</v>
      </c>
      <c r="D36" s="52">
        <f>'Silver bar list_'!D176</f>
        <v>29.541400000000003</v>
      </c>
    </row>
    <row r="37" spans="1:4">
      <c r="A37" s="5" t="str">
        <f>'Silver bar list_'!C160</f>
        <v>022613109</v>
      </c>
      <c r="B37" s="52">
        <f>'Silver bar list_'!D160</f>
        <v>29.529599999999999</v>
      </c>
      <c r="C37" s="5" t="str">
        <f>'Silver bar list_'!C177</f>
        <v>022613151</v>
      </c>
      <c r="D37" s="52">
        <f>'Silver bar list_'!D177</f>
        <v>29.532</v>
      </c>
    </row>
    <row r="38" spans="1:4">
      <c r="A38" s="5" t="str">
        <f>'Silver bar list_'!C161</f>
        <v>022613110</v>
      </c>
      <c r="B38" s="52">
        <f>'Silver bar list_'!D161</f>
        <v>29.5608</v>
      </c>
      <c r="C38" s="5" t="str">
        <f>'Silver bar list_'!C178</f>
        <v>022613155</v>
      </c>
      <c r="D38" s="52">
        <f>'Silver bar list_'!D178</f>
        <v>29.512400000000003</v>
      </c>
    </row>
    <row r="39" spans="1:4">
      <c r="A39" s="5" t="str">
        <f>'Silver bar list_'!C162</f>
        <v>022613111</v>
      </c>
      <c r="B39" s="52">
        <f>'Silver bar list_'!D162</f>
        <v>29.532299999999999</v>
      </c>
      <c r="C39" s="5" t="str">
        <f>'Silver bar list_'!C179</f>
        <v>022613157</v>
      </c>
      <c r="D39" s="52">
        <f>'Silver bar list_'!D179</f>
        <v>29.509900000000002</v>
      </c>
    </row>
    <row r="40" spans="1:4">
      <c r="A40" s="5" t="str">
        <f>'Silver bar list_'!C163</f>
        <v>022613112</v>
      </c>
      <c r="B40" s="52">
        <f>'Silver bar list_'!D163</f>
        <v>29.646999999999998</v>
      </c>
      <c r="C40" s="5" t="str">
        <f>'Silver bar list_'!C180</f>
        <v>022613159</v>
      </c>
      <c r="D40" s="52">
        <f>'Silver bar list_'!D180</f>
        <v>29.515999999999998</v>
      </c>
    </row>
    <row r="41" spans="1:4">
      <c r="A41" s="5" t="str">
        <f>'Silver bar list_'!C164</f>
        <v>022613113</v>
      </c>
      <c r="B41" s="52">
        <f>'Silver bar list_'!D164</f>
        <v>29.655200000000001</v>
      </c>
      <c r="C41" s="5" t="str">
        <f>'Silver bar list_'!C181</f>
        <v>022613127</v>
      </c>
      <c r="D41" s="52">
        <f>'Silver bar list_'!D181</f>
        <v>29.528299999999998</v>
      </c>
    </row>
    <row r="42" spans="1:4">
      <c r="A42" s="5" t="str">
        <f>'Silver bar list_'!C165</f>
        <v>022613114</v>
      </c>
      <c r="B42" s="52">
        <f>'Silver bar list_'!D165</f>
        <v>29.556000000000001</v>
      </c>
      <c r="C42" s="5" t="str">
        <f>'Silver bar list_'!C182</f>
        <v>022613128</v>
      </c>
      <c r="D42" s="52">
        <f>'Silver bar list_'!D182</f>
        <v>29.532799999999998</v>
      </c>
    </row>
    <row r="43" spans="1:4">
      <c r="A43" s="5" t="str">
        <f>'Silver bar list_'!C166</f>
        <v>022613115</v>
      </c>
      <c r="B43" s="52">
        <f>'Silver bar list_'!D166</f>
        <v>29.545200000000001</v>
      </c>
      <c r="C43" s="5" t="str">
        <f>'Silver bar list_'!C183</f>
        <v>022613129</v>
      </c>
      <c r="D43" s="52">
        <f>'Silver bar list_'!D183</f>
        <v>29.546900000000001</v>
      </c>
    </row>
    <row r="44" spans="1:4">
      <c r="A44" s="5" t="str">
        <f>'Silver bar list_'!C167</f>
        <v>022613117</v>
      </c>
      <c r="B44" s="52">
        <f>'Silver bar list_'!D167</f>
        <v>29.548999999999999</v>
      </c>
      <c r="C44" s="5" t="str">
        <f>'Silver bar list_'!C184</f>
        <v>022613130</v>
      </c>
      <c r="D44" s="52">
        <f>'Silver bar list_'!D184</f>
        <v>29.5425</v>
      </c>
    </row>
    <row r="45" spans="1:4">
      <c r="A45" s="5" t="str">
        <f>'Silver bar list_'!C168</f>
        <v>022613118</v>
      </c>
      <c r="B45" s="52">
        <f>'Silver bar list_'!D168</f>
        <v>29.5502</v>
      </c>
      <c r="C45" s="5" t="str">
        <f>'Silver bar list_'!C185</f>
        <v>022613131</v>
      </c>
      <c r="D45" s="52">
        <f>'Silver bar list_'!D185</f>
        <v>29.5304</v>
      </c>
    </row>
    <row r="46" spans="1:4">
      <c r="A46" s="5" t="str">
        <f>'Silver bar list_'!C169</f>
        <v>022613119</v>
      </c>
      <c r="B46" s="52">
        <f>'Silver bar list_'!D169</f>
        <v>29.532700000000002</v>
      </c>
      <c r="C46" s="5" t="str">
        <f>'Silver bar list_'!C186</f>
        <v>022613132</v>
      </c>
      <c r="D46" s="52">
        <f>'Silver bar list_'!D186</f>
        <v>29.657700000000002</v>
      </c>
    </row>
    <row r="47" spans="1:4">
      <c r="A47" s="5" t="str">
        <f>'Silver bar list_'!C170</f>
        <v>022613120</v>
      </c>
      <c r="B47" s="52">
        <f>'Silver bar list_'!D170</f>
        <v>29.5167</v>
      </c>
      <c r="C47" s="5" t="str">
        <f>'Silver bar list_'!C187</f>
        <v>022613133</v>
      </c>
      <c r="D47" s="52">
        <f>'Silver bar list_'!D187</f>
        <v>29.5425</v>
      </c>
    </row>
    <row r="48" spans="1:4">
      <c r="A48" s="5" t="str">
        <f>'Silver bar list_'!C171</f>
        <v>022613121</v>
      </c>
      <c r="B48" s="52">
        <f>'Silver bar list_'!D171</f>
        <v>29.515799999999999</v>
      </c>
      <c r="C48" s="5" t="str">
        <f>'Silver bar list_'!C188</f>
        <v>022613134</v>
      </c>
      <c r="D48" s="52">
        <f>'Silver bar list_'!D188</f>
        <v>29.491400000000002</v>
      </c>
    </row>
    <row r="49" spans="1:4">
      <c r="A49" s="5" t="str">
        <f>'Silver bar list_'!C172</f>
        <v>022613122</v>
      </c>
      <c r="B49" s="52">
        <f>'Silver bar list_'!D172</f>
        <v>29.520199999999999</v>
      </c>
      <c r="C49" s="5" t="str">
        <f>'Silver bar list_'!C189</f>
        <v>022613135</v>
      </c>
      <c r="D49" s="52">
        <f>'Silver bar list_'!D189</f>
        <v>29.551599999999997</v>
      </c>
    </row>
    <row r="50" spans="1:4">
      <c r="A50" s="5" t="str">
        <f>'Silver bar list_'!C173</f>
        <v>022613123</v>
      </c>
      <c r="B50" s="52">
        <f>'Silver bar list_'!D173</f>
        <v>29.499500000000001</v>
      </c>
      <c r="C50" s="5" t="str">
        <f>'Silver bar list_'!C190</f>
        <v>022613136</v>
      </c>
      <c r="D50" s="52">
        <f>'Silver bar list_'!D190</f>
        <v>29.555599999999998</v>
      </c>
    </row>
    <row r="51" spans="1:4">
      <c r="A51" s="61" t="s">
        <v>20</v>
      </c>
      <c r="B51" s="61"/>
      <c r="C51" s="62">
        <f>SUM(B34:B50,D34:D50)</f>
        <v>1004.4224999999999</v>
      </c>
      <c r="D51" s="62"/>
    </row>
  </sheetData>
  <mergeCells count="4">
    <mergeCell ref="A51:B51"/>
    <mergeCell ref="C51:D51"/>
    <mergeCell ref="A28:B28"/>
    <mergeCell ref="C28:D28"/>
  </mergeCells>
  <phoneticPr fontId="0" type="noConversion"/>
  <printOptions horizontalCentered="1"/>
  <pageMargins left="0.25" right="0.25" top="0.75" bottom="0.75" header="0.3" footer="0.3"/>
  <pageSetup paperSize="9" scale="113" orientation="portrait" horizontalDpi="300" verticalDpi="300" r:id="rId1"/>
  <headerFooter alignWithMargins="0">
    <oddFooter>&amp;C&amp;"Times New Roman,Bold"&amp;12Page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1</vt:i4>
      </vt:variant>
    </vt:vector>
  </HeadingPairs>
  <TitlesOfParts>
    <vt:vector size="3" baseType="lpstr">
      <vt:lpstr>Silver bar list_</vt:lpstr>
      <vt:lpstr>Silver bar list</vt:lpstr>
      <vt:lpstr>'Silver bar list'!Print_Area</vt:lpstr>
    </vt:vector>
  </TitlesOfParts>
  <Company>Brinks Asia/Pacific Region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Brinks Asia/Pacific Region</dc:creator>
  <cp:lastModifiedBy>Carol Lau</cp:lastModifiedBy>
  <cp:lastPrinted>2020-12-29T07:38:03Z</cp:lastPrinted>
  <dcterms:created xsi:type="dcterms:W3CDTF">2001-07-30T02:13:47Z</dcterms:created>
  <dcterms:modified xsi:type="dcterms:W3CDTF">2026-03-28T03:39:22Z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