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0890C04-776B-4C11-A221-E219D534B741}" xr6:coauthVersionLast="47" xr6:coauthVersionMax="47" xr10:uidLastSave="{00000000-0000-0000-0000-000000000000}"/>
  <bookViews>
    <workbookView xWindow="-110" yWindow="-110" windowWidth="19420" windowHeight="11500" xr2:uid="{1CD9E271-CF0D-4C89-A7A1-4B47DACCE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9" i="1" l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<sst xmlns="http://schemas.openxmlformats.org/spreadsheetml/2006/main" count="272" uniqueCount="79">
  <si>
    <t>Brand</t>
  </si>
  <si>
    <t>Bar No.</t>
  </si>
  <si>
    <t>Assay</t>
  </si>
  <si>
    <t>Year</t>
  </si>
  <si>
    <t>Shape</t>
  </si>
  <si>
    <t>Gross Ounces</t>
  </si>
  <si>
    <t>Fine Ounces</t>
  </si>
  <si>
    <t>Pallet</t>
  </si>
  <si>
    <t>Kazzinc Ltd</t>
  </si>
  <si>
    <t>2154-02</t>
  </si>
  <si>
    <t>1000 oz</t>
  </si>
  <si>
    <t>BW02662</t>
  </si>
  <si>
    <t>2154-03</t>
  </si>
  <si>
    <t>2154-04</t>
  </si>
  <si>
    <t>2154-05</t>
  </si>
  <si>
    <t>2154-06</t>
  </si>
  <si>
    <t>2154-07</t>
  </si>
  <si>
    <t>2015-1098-10</t>
  </si>
  <si>
    <t>BW12190</t>
  </si>
  <si>
    <t>2015-1099-01</t>
  </si>
  <si>
    <t>2015-1099-02</t>
  </si>
  <si>
    <t>2015-1099-03</t>
  </si>
  <si>
    <t>2015-1099-04</t>
  </si>
  <si>
    <t>2015-1099-05</t>
  </si>
  <si>
    <t>2015-1099-06</t>
  </si>
  <si>
    <t>2015-1099-07</t>
  </si>
  <si>
    <t>2015-1099-08</t>
  </si>
  <si>
    <t>2015-1099-09</t>
  </si>
  <si>
    <t>2015-1099-10</t>
  </si>
  <si>
    <t>2015-1100-01</t>
  </si>
  <si>
    <t>2015-1100-02</t>
  </si>
  <si>
    <t>2015-1100-03</t>
  </si>
  <si>
    <t>2015-1100-04</t>
  </si>
  <si>
    <t>2015-1100-05</t>
  </si>
  <si>
    <t>2015-1100-06</t>
  </si>
  <si>
    <t>2015-1100-07</t>
  </si>
  <si>
    <t>2015-1101-01</t>
  </si>
  <si>
    <t>2015-1101-02</t>
  </si>
  <si>
    <t>2015-1101-03</t>
  </si>
  <si>
    <t>2015-1101-04</t>
  </si>
  <si>
    <t>2015-1101-05</t>
  </si>
  <si>
    <t>2015-1101-06</t>
  </si>
  <si>
    <t>2015-1101-07</t>
  </si>
  <si>
    <t>2015-1101-08</t>
  </si>
  <si>
    <t>2015-1101-09</t>
  </si>
  <si>
    <t>2015-1102-01</t>
  </si>
  <si>
    <t>2015-1102-02</t>
  </si>
  <si>
    <t>2015-1102-03</t>
  </si>
  <si>
    <t>2015-1086-06</t>
  </si>
  <si>
    <t>BW12191</t>
  </si>
  <si>
    <t>2015-1086-07</t>
  </si>
  <si>
    <t>2015-1086-08</t>
  </si>
  <si>
    <t>2015-1086-09</t>
  </si>
  <si>
    <t>2015-1087-01</t>
  </si>
  <si>
    <t>2015-1087-02</t>
  </si>
  <si>
    <t>2015-1087-03</t>
  </si>
  <si>
    <t>2015-1087-04</t>
  </si>
  <si>
    <t>2015-1087-05</t>
  </si>
  <si>
    <t>2015-1087-06</t>
  </si>
  <si>
    <t>2015-1087-07</t>
  </si>
  <si>
    <t>2015-1087-08</t>
  </si>
  <si>
    <t>2015-1087-09</t>
  </si>
  <si>
    <t>2015-1087-10</t>
  </si>
  <si>
    <t>2015-1088-01</t>
  </si>
  <si>
    <t>2015-1088-02</t>
  </si>
  <si>
    <t>2015-1088-03</t>
  </si>
  <si>
    <t>2015-1088-04</t>
  </si>
  <si>
    <t>2015-1088-05</t>
  </si>
  <si>
    <t>2015-1088-06</t>
  </si>
  <si>
    <t>2015-1088-07</t>
  </si>
  <si>
    <t>2015-1088-08</t>
  </si>
  <si>
    <t>2015-1088-09</t>
  </si>
  <si>
    <t>2015-1089-01</t>
  </si>
  <si>
    <t>2015-1089-02</t>
  </si>
  <si>
    <t>2015-1089-03</t>
  </si>
  <si>
    <t>2015-1089-04</t>
  </si>
  <si>
    <t>2015-1089-05</t>
  </si>
  <si>
    <t>2015-1089-06</t>
  </si>
  <si>
    <t>2015-1089-07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</si>
</sst>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F805-E3E8-42F1-A364-AC22F6C9EEDC}">
  <dimension ref="A1:J69"/>
  <sheetViews>
    <sheetView tabSelected="1" topLeftCell="A50" workbookViewId="0">
      <selection activeCell="J69" sqref="J69"/>
    </sheetView>
  </sheetViews>
  <sheetFormatPr defaultRowHeight="14.5"/>
  <cols>
    <col min="1" max="1" width="11.796875" customWidth="1"/>
    <col min="2" max="2" width="11.69921875" bestFit="1" customWidth="1"/>
    <col min="3" max="3" width="15" customWidth="1"/>
    <col min="5" max="5" width="7.296875" customWidth="1"/>
    <col min="6" max="6" width="9.09765625" customWidth="1"/>
    <col min="7" max="7" width="13.19921875" bestFit="1" customWidth="1"/>
    <col min="8" max="8" width="11.8984375" bestFit="1" customWidth="1"/>
  </cols>
  <sheetData>
    <row r="1" spans="1:10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0">
      <c r="A2" t="s">
        <v>11</v>
      </c>
      <c r="B2" t="s">
        <v>8</v>
      </c>
      <c r="C2" t="s">
        <v>9</v>
      </c>
      <c r="D2">
        <v>9999</v>
      </c>
      <c r="E2">
        <v>2016</v>
      </c>
      <c r="F2" t="s">
        <v>10</v>
      </c>
      <c r="G2">
        <v>974.9</v>
      </c>
      <c r="H2">
        <v>974.9</v>
      </c>
      <c r="J2">
        <f>ROUND(G2/32.1507,3)</f>
        <v>30.323</v>
      </c>
    </row>
    <row r="3" spans="1:10">
      <c r="A3" t="s">
        <v>11</v>
      </c>
      <c r="B3" t="s">
        <v>8</v>
      </c>
      <c r="C3" t="s">
        <v>12</v>
      </c>
      <c r="D3">
        <v>9999</v>
      </c>
      <c r="E3">
        <v>2016</v>
      </c>
      <c r="F3" t="s">
        <v>10</v>
      </c>
      <c r="G3">
        <v>1001.8</v>
      </c>
      <c r="H3">
        <v>1001.8</v>
      </c>
      <c r="J3">
        <f t="shared" ref="J3:J66" si="0">ROUND(G3/32.1507,3)</f>
        <v>31.16</v>
      </c>
    </row>
    <row r="4" spans="1:10">
      <c r="A4" t="s">
        <v>11</v>
      </c>
      <c r="B4" t="s">
        <v>8</v>
      </c>
      <c r="C4" t="s">
        <v>13</v>
      </c>
      <c r="D4">
        <v>9999</v>
      </c>
      <c r="E4">
        <v>2016</v>
      </c>
      <c r="F4" t="s">
        <v>10</v>
      </c>
      <c r="G4">
        <v>978.1</v>
      </c>
      <c r="H4">
        <v>978.1</v>
      </c>
      <c r="J4">
        <f t="shared" si="0"/>
        <v>30.422000000000001</v>
      </c>
    </row>
    <row r="5" spans="1:10">
      <c r="A5" t="s">
        <v>11</v>
      </c>
      <c r="B5" t="s">
        <v>8</v>
      </c>
      <c r="C5" t="s">
        <v>14</v>
      </c>
      <c r="D5">
        <v>9999</v>
      </c>
      <c r="E5">
        <v>2016</v>
      </c>
      <c r="F5" t="s">
        <v>10</v>
      </c>
      <c r="G5">
        <v>998.7</v>
      </c>
      <c r="H5">
        <v>998.7</v>
      </c>
      <c r="J5">
        <f t="shared" si="0"/>
        <v>31.062999999999999</v>
      </c>
    </row>
    <row r="6" spans="1:10">
      <c r="A6" t="s">
        <v>11</v>
      </c>
      <c r="B6" t="s">
        <v>8</v>
      </c>
      <c r="C6" t="s">
        <v>15</v>
      </c>
      <c r="D6">
        <v>9999</v>
      </c>
      <c r="E6">
        <v>2016</v>
      </c>
      <c r="F6" t="s">
        <v>10</v>
      </c>
      <c r="G6">
        <v>965.5</v>
      </c>
      <c r="H6">
        <v>965.5</v>
      </c>
      <c r="J6">
        <f t="shared" si="0"/>
        <v>30.03</v>
      </c>
    </row>
    <row r="7" spans="1:10">
      <c r="A7" t="s">
        <v>11</v>
      </c>
      <c r="B7" t="s">
        <v>8</v>
      </c>
      <c r="C7" t="s">
        <v>16</v>
      </c>
      <c r="D7">
        <v>9999</v>
      </c>
      <c r="E7">
        <v>2016</v>
      </c>
      <c r="F7" t="s">
        <v>10</v>
      </c>
      <c r="G7">
        <v>976.6</v>
      </c>
      <c r="H7">
        <v>976.6</v>
      </c>
      <c r="J7">
        <f t="shared" si="0"/>
        <v>30.376000000000001</v>
      </c>
    </row>
    <row r="8" spans="1:10">
      <c r="A8" t="s">
        <v>18</v>
      </c>
      <c r="B8" t="s">
        <v>8</v>
      </c>
      <c r="C8" t="s">
        <v>17</v>
      </c>
      <c r="D8">
        <v>9999</v>
      </c>
      <c r="E8">
        <v>2015</v>
      </c>
      <c r="F8" t="s">
        <v>10</v>
      </c>
      <c r="G8">
        <v>972</v>
      </c>
      <c r="H8">
        <v>972</v>
      </c>
      <c r="J8">
        <f t="shared" si="0"/>
        <v>30.233000000000001</v>
      </c>
    </row>
    <row r="9" spans="1:10">
      <c r="A9" t="s">
        <v>18</v>
      </c>
      <c r="B9" t="s">
        <v>8</v>
      </c>
      <c r="C9" t="s">
        <v>19</v>
      </c>
      <c r="D9">
        <v>9999</v>
      </c>
      <c r="E9">
        <v>2015</v>
      </c>
      <c r="F9" t="s">
        <v>10</v>
      </c>
      <c r="G9">
        <v>981</v>
      </c>
      <c r="H9">
        <v>981</v>
      </c>
      <c r="J9">
        <f t="shared" si="0"/>
        <v>30.513000000000002</v>
      </c>
    </row>
    <row r="10" spans="1:10">
      <c r="A10" t="s">
        <v>18</v>
      </c>
      <c r="B10" t="s">
        <v>8</v>
      </c>
      <c r="C10" t="s">
        <v>20</v>
      </c>
      <c r="D10">
        <v>9999</v>
      </c>
      <c r="E10">
        <v>2015</v>
      </c>
      <c r="F10" t="s">
        <v>10</v>
      </c>
      <c r="G10">
        <v>995</v>
      </c>
      <c r="H10">
        <v>995</v>
      </c>
      <c r="J10">
        <f t="shared" si="0"/>
        <v>30.948</v>
      </c>
    </row>
    <row r="11" spans="1:10">
      <c r="A11" t="s">
        <v>18</v>
      </c>
      <c r="B11" t="s">
        <v>8</v>
      </c>
      <c r="C11" t="s">
        <v>21</v>
      </c>
      <c r="D11">
        <v>9999</v>
      </c>
      <c r="E11">
        <v>2015</v>
      </c>
      <c r="F11" t="s">
        <v>10</v>
      </c>
      <c r="G11">
        <v>970.5</v>
      </c>
      <c r="H11">
        <v>970.5</v>
      </c>
      <c r="J11">
        <f t="shared" si="0"/>
        <v>30.186</v>
      </c>
    </row>
    <row r="12" spans="1:10">
      <c r="A12" t="s">
        <v>18</v>
      </c>
      <c r="B12" t="s">
        <v>8</v>
      </c>
      <c r="C12" t="s">
        <v>22</v>
      </c>
      <c r="D12">
        <v>9999</v>
      </c>
      <c r="E12">
        <v>2015</v>
      </c>
      <c r="F12" t="s">
        <v>10</v>
      </c>
      <c r="G12">
        <v>984.1</v>
      </c>
      <c r="H12">
        <v>984.1</v>
      </c>
      <c r="J12">
        <f t="shared" si="0"/>
        <v>30.609000000000002</v>
      </c>
    </row>
    <row r="13" spans="1:10">
      <c r="A13" t="s">
        <v>18</v>
      </c>
      <c r="B13" t="s">
        <v>8</v>
      </c>
      <c r="C13" t="s">
        <v>23</v>
      </c>
      <c r="D13">
        <v>9999</v>
      </c>
      <c r="E13">
        <v>2015</v>
      </c>
      <c r="F13" t="s">
        <v>10</v>
      </c>
      <c r="G13">
        <v>981.9</v>
      </c>
      <c r="H13">
        <v>981.9</v>
      </c>
      <c r="J13">
        <f t="shared" si="0"/>
        <v>30.541</v>
      </c>
    </row>
    <row r="14" spans="1:10">
      <c r="A14" t="s">
        <v>18</v>
      </c>
      <c r="B14" t="s">
        <v>8</v>
      </c>
      <c r="C14" t="s">
        <v>24</v>
      </c>
      <c r="D14">
        <v>9999</v>
      </c>
      <c r="E14">
        <v>2015</v>
      </c>
      <c r="F14" t="s">
        <v>10</v>
      </c>
      <c r="G14">
        <v>984.3</v>
      </c>
      <c r="H14">
        <v>984.3</v>
      </c>
      <c r="J14">
        <f t="shared" si="0"/>
        <v>30.614999999999998</v>
      </c>
    </row>
    <row r="15" spans="1:10">
      <c r="A15" t="s">
        <v>18</v>
      </c>
      <c r="B15" t="s">
        <v>8</v>
      </c>
      <c r="C15" t="s">
        <v>25</v>
      </c>
      <c r="D15">
        <v>9999</v>
      </c>
      <c r="E15">
        <v>2015</v>
      </c>
      <c r="F15" t="s">
        <v>10</v>
      </c>
      <c r="G15">
        <v>1012.9</v>
      </c>
      <c r="H15">
        <v>1012.9</v>
      </c>
      <c r="J15">
        <f t="shared" si="0"/>
        <v>31.504999999999999</v>
      </c>
    </row>
    <row r="16" spans="1:10">
      <c r="A16" t="s">
        <v>18</v>
      </c>
      <c r="B16" t="s">
        <v>8</v>
      </c>
      <c r="C16" t="s">
        <v>26</v>
      </c>
      <c r="D16">
        <v>9999</v>
      </c>
      <c r="E16">
        <v>2015</v>
      </c>
      <c r="F16" t="s">
        <v>10</v>
      </c>
      <c r="G16">
        <v>949.5</v>
      </c>
      <c r="H16">
        <v>949.5</v>
      </c>
      <c r="J16">
        <f t="shared" si="0"/>
        <v>29.533000000000001</v>
      </c>
    </row>
    <row r="17" spans="1:10">
      <c r="A17" t="s">
        <v>18</v>
      </c>
      <c r="B17" t="s">
        <v>8</v>
      </c>
      <c r="C17" t="s">
        <v>27</v>
      </c>
      <c r="D17">
        <v>9999</v>
      </c>
      <c r="E17">
        <v>2015</v>
      </c>
      <c r="F17" t="s">
        <v>10</v>
      </c>
      <c r="G17">
        <v>1003.1</v>
      </c>
      <c r="H17">
        <v>1003.1</v>
      </c>
      <c r="J17">
        <f t="shared" si="0"/>
        <v>31.2</v>
      </c>
    </row>
    <row r="18" spans="1:10">
      <c r="A18" t="s">
        <v>18</v>
      </c>
      <c r="B18" t="s">
        <v>8</v>
      </c>
      <c r="C18" t="s">
        <v>28</v>
      </c>
      <c r="D18">
        <v>9999</v>
      </c>
      <c r="E18">
        <v>2015</v>
      </c>
      <c r="F18" t="s">
        <v>10</v>
      </c>
      <c r="G18">
        <v>990.9</v>
      </c>
      <c r="H18">
        <v>990.9</v>
      </c>
      <c r="J18">
        <f t="shared" si="0"/>
        <v>30.82</v>
      </c>
    </row>
    <row r="19" spans="1:10">
      <c r="A19" t="s">
        <v>18</v>
      </c>
      <c r="B19" t="s">
        <v>8</v>
      </c>
      <c r="C19" t="s">
        <v>29</v>
      </c>
      <c r="D19">
        <v>9999</v>
      </c>
      <c r="E19">
        <v>2015</v>
      </c>
      <c r="F19" t="s">
        <v>10</v>
      </c>
      <c r="G19">
        <v>1022.4</v>
      </c>
      <c r="H19">
        <v>1022.4</v>
      </c>
      <c r="J19">
        <f t="shared" si="0"/>
        <v>31.8</v>
      </c>
    </row>
    <row r="20" spans="1:10">
      <c r="A20" t="s">
        <v>18</v>
      </c>
      <c r="B20" t="s">
        <v>8</v>
      </c>
      <c r="C20" t="s">
        <v>30</v>
      </c>
      <c r="D20">
        <v>9999</v>
      </c>
      <c r="E20">
        <v>2015</v>
      </c>
      <c r="F20" t="s">
        <v>10</v>
      </c>
      <c r="G20">
        <v>982.3</v>
      </c>
      <c r="H20">
        <v>982.3</v>
      </c>
      <c r="J20">
        <f t="shared" si="0"/>
        <v>30.553000000000001</v>
      </c>
    </row>
    <row r="21" spans="1:10">
      <c r="A21" t="s">
        <v>18</v>
      </c>
      <c r="B21" t="s">
        <v>8</v>
      </c>
      <c r="C21" t="s">
        <v>31</v>
      </c>
      <c r="D21">
        <v>9999</v>
      </c>
      <c r="E21">
        <v>2015</v>
      </c>
      <c r="F21" t="s">
        <v>10</v>
      </c>
      <c r="G21">
        <v>961.5</v>
      </c>
      <c r="H21">
        <v>961.5</v>
      </c>
      <c r="J21">
        <f t="shared" si="0"/>
        <v>29.905999999999999</v>
      </c>
    </row>
    <row r="22" spans="1:10">
      <c r="A22" t="s">
        <v>18</v>
      </c>
      <c r="B22" t="s">
        <v>8</v>
      </c>
      <c r="C22" t="s">
        <v>32</v>
      </c>
      <c r="D22">
        <v>9999</v>
      </c>
      <c r="E22">
        <v>2015</v>
      </c>
      <c r="F22" t="s">
        <v>10</v>
      </c>
      <c r="G22">
        <v>964.2</v>
      </c>
      <c r="H22">
        <v>964.2</v>
      </c>
      <c r="J22">
        <f t="shared" si="0"/>
        <v>29.99</v>
      </c>
    </row>
    <row r="23" spans="1:10">
      <c r="A23" t="s">
        <v>18</v>
      </c>
      <c r="B23" t="s">
        <v>8</v>
      </c>
      <c r="C23" t="s">
        <v>33</v>
      </c>
      <c r="D23">
        <v>9999</v>
      </c>
      <c r="E23">
        <v>2015</v>
      </c>
      <c r="F23" t="s">
        <v>10</v>
      </c>
      <c r="G23">
        <v>986.4</v>
      </c>
      <c r="H23">
        <v>986.4</v>
      </c>
      <c r="J23">
        <f t="shared" si="0"/>
        <v>30.681000000000001</v>
      </c>
    </row>
    <row r="24" spans="1:10">
      <c r="A24" t="s">
        <v>18</v>
      </c>
      <c r="B24" t="s">
        <v>8</v>
      </c>
      <c r="C24" t="s">
        <v>34</v>
      </c>
      <c r="D24">
        <v>9999</v>
      </c>
      <c r="E24">
        <v>2015</v>
      </c>
      <c r="F24" t="s">
        <v>10</v>
      </c>
      <c r="G24">
        <v>1021.9</v>
      </c>
      <c r="H24">
        <v>1021.9</v>
      </c>
      <c r="J24">
        <f t="shared" si="0"/>
        <v>31.785</v>
      </c>
    </row>
    <row r="25" spans="1:10">
      <c r="A25" t="s">
        <v>18</v>
      </c>
      <c r="B25" t="s">
        <v>8</v>
      </c>
      <c r="C25" t="s">
        <v>35</v>
      </c>
      <c r="D25">
        <v>9999</v>
      </c>
      <c r="E25">
        <v>2015</v>
      </c>
      <c r="F25" t="s">
        <v>10</v>
      </c>
      <c r="G25">
        <v>1000</v>
      </c>
      <c r="H25">
        <v>1000</v>
      </c>
      <c r="J25">
        <f t="shared" si="0"/>
        <v>31.103999999999999</v>
      </c>
    </row>
    <row r="26" spans="1:10">
      <c r="A26" t="s">
        <v>18</v>
      </c>
      <c r="B26" t="s">
        <v>8</v>
      </c>
      <c r="C26" t="s">
        <v>36</v>
      </c>
      <c r="D26">
        <v>9999</v>
      </c>
      <c r="E26">
        <v>2015</v>
      </c>
      <c r="F26" t="s">
        <v>10</v>
      </c>
      <c r="G26">
        <v>1001.9</v>
      </c>
      <c r="H26">
        <v>1001.9</v>
      </c>
      <c r="J26">
        <f t="shared" si="0"/>
        <v>31.163</v>
      </c>
    </row>
    <row r="27" spans="1:10">
      <c r="A27" t="s">
        <v>18</v>
      </c>
      <c r="B27" t="s">
        <v>8</v>
      </c>
      <c r="C27" t="s">
        <v>37</v>
      </c>
      <c r="D27">
        <v>9999</v>
      </c>
      <c r="E27">
        <v>2015</v>
      </c>
      <c r="F27" t="s">
        <v>10</v>
      </c>
      <c r="G27">
        <v>1004.4</v>
      </c>
      <c r="H27">
        <v>1004.4</v>
      </c>
      <c r="J27">
        <f t="shared" si="0"/>
        <v>31.24</v>
      </c>
    </row>
    <row r="28" spans="1:10">
      <c r="A28" t="s">
        <v>18</v>
      </c>
      <c r="B28" t="s">
        <v>8</v>
      </c>
      <c r="C28" t="s">
        <v>38</v>
      </c>
      <c r="D28">
        <v>9999</v>
      </c>
      <c r="E28">
        <v>2015</v>
      </c>
      <c r="F28" t="s">
        <v>10</v>
      </c>
      <c r="G28">
        <v>970.9</v>
      </c>
      <c r="H28">
        <v>970.9</v>
      </c>
      <c r="J28">
        <f t="shared" si="0"/>
        <v>30.198</v>
      </c>
    </row>
    <row r="29" spans="1:10">
      <c r="A29" t="s">
        <v>18</v>
      </c>
      <c r="B29" t="s">
        <v>8</v>
      </c>
      <c r="C29" t="s">
        <v>39</v>
      </c>
      <c r="D29">
        <v>9999</v>
      </c>
      <c r="E29">
        <v>2015</v>
      </c>
      <c r="F29" t="s">
        <v>10</v>
      </c>
      <c r="G29">
        <v>970.2</v>
      </c>
      <c r="H29">
        <v>970.2</v>
      </c>
      <c r="J29">
        <f t="shared" si="0"/>
        <v>30.177</v>
      </c>
    </row>
    <row r="30" spans="1:10">
      <c r="A30" t="s">
        <v>18</v>
      </c>
      <c r="B30" t="s">
        <v>8</v>
      </c>
      <c r="C30" t="s">
        <v>40</v>
      </c>
      <c r="D30">
        <v>9999</v>
      </c>
      <c r="E30">
        <v>2015</v>
      </c>
      <c r="F30" t="s">
        <v>10</v>
      </c>
      <c r="G30">
        <v>969.1</v>
      </c>
      <c r="H30">
        <v>969.1</v>
      </c>
      <c r="J30">
        <f t="shared" si="0"/>
        <v>30.141999999999999</v>
      </c>
    </row>
    <row r="31" spans="1:10">
      <c r="A31" t="s">
        <v>18</v>
      </c>
      <c r="B31" t="s">
        <v>8</v>
      </c>
      <c r="C31" t="s">
        <v>41</v>
      </c>
      <c r="D31">
        <v>9999</v>
      </c>
      <c r="E31">
        <v>2015</v>
      </c>
      <c r="F31" t="s">
        <v>10</v>
      </c>
      <c r="G31">
        <v>957.8</v>
      </c>
      <c r="H31">
        <v>957.8</v>
      </c>
      <c r="J31">
        <f t="shared" si="0"/>
        <v>29.791</v>
      </c>
    </row>
    <row r="32" spans="1:10">
      <c r="A32" t="s">
        <v>18</v>
      </c>
      <c r="B32" t="s">
        <v>8</v>
      </c>
      <c r="C32" t="s">
        <v>42</v>
      </c>
      <c r="D32">
        <v>9999</v>
      </c>
      <c r="E32">
        <v>2015</v>
      </c>
      <c r="F32" t="s">
        <v>10</v>
      </c>
      <c r="G32">
        <v>1012</v>
      </c>
      <c r="H32">
        <v>1012</v>
      </c>
      <c r="J32">
        <f t="shared" si="0"/>
        <v>31.477</v>
      </c>
    </row>
    <row r="33" spans="1:10">
      <c r="A33" t="s">
        <v>18</v>
      </c>
      <c r="B33" t="s">
        <v>8</v>
      </c>
      <c r="C33" t="s">
        <v>43</v>
      </c>
      <c r="D33">
        <v>9999</v>
      </c>
      <c r="E33">
        <v>2015</v>
      </c>
      <c r="F33" t="s">
        <v>10</v>
      </c>
      <c r="G33">
        <v>1006.4</v>
      </c>
      <c r="H33">
        <v>1006.4</v>
      </c>
      <c r="J33">
        <f t="shared" si="0"/>
        <v>31.303000000000001</v>
      </c>
    </row>
    <row r="34" spans="1:10">
      <c r="A34" t="s">
        <v>18</v>
      </c>
      <c r="B34" t="s">
        <v>8</v>
      </c>
      <c r="C34" t="s">
        <v>44</v>
      </c>
      <c r="D34">
        <v>9999</v>
      </c>
      <c r="E34">
        <v>2015</v>
      </c>
      <c r="F34" t="s">
        <v>10</v>
      </c>
      <c r="G34">
        <v>961.3</v>
      </c>
      <c r="H34">
        <v>961.3</v>
      </c>
      <c r="J34">
        <f t="shared" si="0"/>
        <v>29.9</v>
      </c>
    </row>
    <row r="35" spans="1:10">
      <c r="A35" t="s">
        <v>18</v>
      </c>
      <c r="B35" t="s">
        <v>8</v>
      </c>
      <c r="C35" t="s">
        <v>45</v>
      </c>
      <c r="D35">
        <v>9999</v>
      </c>
      <c r="E35">
        <v>2015</v>
      </c>
      <c r="F35" t="s">
        <v>10</v>
      </c>
      <c r="G35">
        <v>1003</v>
      </c>
      <c r="H35">
        <v>1003</v>
      </c>
      <c r="J35">
        <f t="shared" si="0"/>
        <v>31.196999999999999</v>
      </c>
    </row>
    <row r="36" spans="1:10">
      <c r="A36" t="s">
        <v>18</v>
      </c>
      <c r="B36" t="s">
        <v>8</v>
      </c>
      <c r="C36" t="s">
        <v>46</v>
      </c>
      <c r="D36">
        <v>9999</v>
      </c>
      <c r="E36">
        <v>2015</v>
      </c>
      <c r="F36" t="s">
        <v>10</v>
      </c>
      <c r="G36">
        <v>989.4</v>
      </c>
      <c r="H36">
        <v>989.4</v>
      </c>
      <c r="J36">
        <f t="shared" si="0"/>
        <v>30.774000000000001</v>
      </c>
    </row>
    <row r="37" spans="1:10">
      <c r="A37" t="s">
        <v>18</v>
      </c>
      <c r="B37" t="s">
        <v>8</v>
      </c>
      <c r="C37" t="s">
        <v>47</v>
      </c>
      <c r="D37">
        <v>9999</v>
      </c>
      <c r="E37">
        <v>2015</v>
      </c>
      <c r="F37" t="s">
        <v>10</v>
      </c>
      <c r="G37">
        <v>1005.4</v>
      </c>
      <c r="H37">
        <v>1005.4</v>
      </c>
      <c r="J37">
        <f t="shared" si="0"/>
        <v>31.271000000000001</v>
      </c>
    </row>
    <row r="38" spans="1:10">
      <c r="A38" t="s">
        <v>49</v>
      </c>
      <c r="B38" t="s">
        <v>8</v>
      </c>
      <c r="C38" t="s">
        <v>48</v>
      </c>
      <c r="D38">
        <v>9999</v>
      </c>
      <c r="E38">
        <v>2015</v>
      </c>
      <c r="F38" t="s">
        <v>10</v>
      </c>
      <c r="G38">
        <v>966</v>
      </c>
      <c r="H38">
        <v>966</v>
      </c>
      <c r="J38">
        <f t="shared" si="0"/>
        <v>30.045999999999999</v>
      </c>
    </row>
    <row r="39" spans="1:10">
      <c r="A39" t="s">
        <v>49</v>
      </c>
      <c r="B39" t="s">
        <v>8</v>
      </c>
      <c r="C39" t="s">
        <v>50</v>
      </c>
      <c r="D39">
        <v>9999</v>
      </c>
      <c r="E39">
        <v>2015</v>
      </c>
      <c r="F39" t="s">
        <v>10</v>
      </c>
      <c r="G39">
        <v>987.2</v>
      </c>
      <c r="H39">
        <v>987.2</v>
      </c>
      <c r="J39">
        <f t="shared" si="0"/>
        <v>30.704999999999998</v>
      </c>
    </row>
    <row r="40" spans="1:10">
      <c r="A40" t="s">
        <v>49</v>
      </c>
      <c r="B40" t="s">
        <v>8</v>
      </c>
      <c r="C40" t="s">
        <v>51</v>
      </c>
      <c r="D40">
        <v>9999</v>
      </c>
      <c r="E40">
        <v>2015</v>
      </c>
      <c r="F40" t="s">
        <v>10</v>
      </c>
      <c r="G40">
        <v>952.6</v>
      </c>
      <c r="H40">
        <v>952.6</v>
      </c>
      <c r="J40">
        <f t="shared" si="0"/>
        <v>29.629000000000001</v>
      </c>
    </row>
    <row r="41" spans="1:10">
      <c r="A41" t="s">
        <v>49</v>
      </c>
      <c r="B41" t="s">
        <v>8</v>
      </c>
      <c r="C41" t="s">
        <v>52</v>
      </c>
      <c r="D41">
        <v>9999</v>
      </c>
      <c r="E41">
        <v>2015</v>
      </c>
      <c r="F41" t="s">
        <v>10</v>
      </c>
      <c r="G41">
        <v>985</v>
      </c>
      <c r="H41">
        <v>985</v>
      </c>
      <c r="J41">
        <f t="shared" si="0"/>
        <v>30.637</v>
      </c>
    </row>
    <row r="42" spans="1:10">
      <c r="A42" t="s">
        <v>49</v>
      </c>
      <c r="B42" t="s">
        <v>8</v>
      </c>
      <c r="C42" t="s">
        <v>53</v>
      </c>
      <c r="D42">
        <v>9999</v>
      </c>
      <c r="E42">
        <v>2015</v>
      </c>
      <c r="F42" t="s">
        <v>10</v>
      </c>
      <c r="G42">
        <v>934.8</v>
      </c>
      <c r="H42">
        <v>934.8</v>
      </c>
      <c r="J42">
        <f t="shared" si="0"/>
        <v>29.076000000000001</v>
      </c>
    </row>
    <row r="43" spans="1:10">
      <c r="A43" t="s">
        <v>49</v>
      </c>
      <c r="B43" t="s">
        <v>8</v>
      </c>
      <c r="C43" t="s">
        <v>54</v>
      </c>
      <c r="D43">
        <v>9999</v>
      </c>
      <c r="E43">
        <v>2015</v>
      </c>
      <c r="F43" t="s">
        <v>10</v>
      </c>
      <c r="G43">
        <v>980.8</v>
      </c>
      <c r="H43">
        <v>980.8</v>
      </c>
      <c r="J43">
        <f t="shared" si="0"/>
        <v>30.506</v>
      </c>
    </row>
    <row r="44" spans="1:10">
      <c r="A44" t="s">
        <v>49</v>
      </c>
      <c r="B44" t="s">
        <v>8</v>
      </c>
      <c r="C44" t="s">
        <v>55</v>
      </c>
      <c r="D44">
        <v>9999</v>
      </c>
      <c r="E44">
        <v>2015</v>
      </c>
      <c r="F44" t="s">
        <v>10</v>
      </c>
      <c r="G44">
        <v>957.8</v>
      </c>
      <c r="H44">
        <v>957.8</v>
      </c>
      <c r="J44">
        <f t="shared" si="0"/>
        <v>29.791</v>
      </c>
    </row>
    <row r="45" spans="1:10">
      <c r="A45" t="s">
        <v>49</v>
      </c>
      <c r="B45" t="s">
        <v>8</v>
      </c>
      <c r="C45" t="s">
        <v>56</v>
      </c>
      <c r="D45">
        <v>9999</v>
      </c>
      <c r="E45">
        <v>2015</v>
      </c>
      <c r="F45" t="s">
        <v>10</v>
      </c>
      <c r="G45">
        <v>956.4</v>
      </c>
      <c r="H45">
        <v>956.4</v>
      </c>
      <c r="J45">
        <f t="shared" si="0"/>
        <v>29.747</v>
      </c>
    </row>
    <row r="46" spans="1:10">
      <c r="A46" t="s">
        <v>49</v>
      </c>
      <c r="B46" t="s">
        <v>8</v>
      </c>
      <c r="C46" t="s">
        <v>57</v>
      </c>
      <c r="D46">
        <v>9999</v>
      </c>
      <c r="E46">
        <v>2015</v>
      </c>
      <c r="F46" t="s">
        <v>10</v>
      </c>
      <c r="G46">
        <v>969.4</v>
      </c>
      <c r="H46">
        <v>969.4</v>
      </c>
      <c r="J46">
        <f t="shared" si="0"/>
        <v>30.152000000000001</v>
      </c>
    </row>
    <row r="47" spans="1:10">
      <c r="A47" t="s">
        <v>49</v>
      </c>
      <c r="B47" t="s">
        <v>8</v>
      </c>
      <c r="C47" t="s">
        <v>58</v>
      </c>
      <c r="D47">
        <v>9999</v>
      </c>
      <c r="E47">
        <v>2015</v>
      </c>
      <c r="F47" t="s">
        <v>10</v>
      </c>
      <c r="G47">
        <v>980.2</v>
      </c>
      <c r="H47">
        <v>980.2</v>
      </c>
      <c r="J47">
        <f t="shared" si="0"/>
        <v>30.488</v>
      </c>
    </row>
    <row r="48" spans="1:10">
      <c r="A48" t="s">
        <v>49</v>
      </c>
      <c r="B48" t="s">
        <v>8</v>
      </c>
      <c r="C48" t="s">
        <v>59</v>
      </c>
      <c r="D48">
        <v>9999</v>
      </c>
      <c r="E48">
        <v>2015</v>
      </c>
      <c r="F48" t="s">
        <v>10</v>
      </c>
      <c r="G48">
        <v>975.3</v>
      </c>
      <c r="H48">
        <v>975.3</v>
      </c>
      <c r="J48">
        <f t="shared" si="0"/>
        <v>30.335000000000001</v>
      </c>
    </row>
    <row r="49" spans="1:10">
      <c r="A49" t="s">
        <v>49</v>
      </c>
      <c r="B49" t="s">
        <v>8</v>
      </c>
      <c r="C49" t="s">
        <v>60</v>
      </c>
      <c r="D49">
        <v>9999</v>
      </c>
      <c r="E49">
        <v>2015</v>
      </c>
      <c r="F49" t="s">
        <v>10</v>
      </c>
      <c r="G49">
        <v>975.7</v>
      </c>
      <c r="H49">
        <v>975.7</v>
      </c>
      <c r="J49">
        <f t="shared" si="0"/>
        <v>30.347999999999999</v>
      </c>
    </row>
    <row r="50" spans="1:10">
      <c r="A50" t="s">
        <v>49</v>
      </c>
      <c r="B50" t="s">
        <v>8</v>
      </c>
      <c r="C50" t="s">
        <v>61</v>
      </c>
      <c r="D50">
        <v>9999</v>
      </c>
      <c r="E50">
        <v>2015</v>
      </c>
      <c r="F50" t="s">
        <v>10</v>
      </c>
      <c r="G50">
        <v>963</v>
      </c>
      <c r="H50">
        <v>963</v>
      </c>
      <c r="J50">
        <f t="shared" si="0"/>
        <v>29.952999999999999</v>
      </c>
    </row>
    <row r="51" spans="1:10">
      <c r="A51" t="s">
        <v>49</v>
      </c>
      <c r="B51" t="s">
        <v>8</v>
      </c>
      <c r="C51" t="s">
        <v>62</v>
      </c>
      <c r="D51">
        <v>9999</v>
      </c>
      <c r="E51">
        <v>2015</v>
      </c>
      <c r="F51" t="s">
        <v>10</v>
      </c>
      <c r="G51">
        <v>976.5</v>
      </c>
      <c r="H51">
        <v>976.5</v>
      </c>
      <c r="J51">
        <f t="shared" si="0"/>
        <v>30.373000000000001</v>
      </c>
    </row>
    <row r="52" spans="1:10">
      <c r="A52" t="s">
        <v>49</v>
      </c>
      <c r="B52" t="s">
        <v>8</v>
      </c>
      <c r="C52" t="s">
        <v>63</v>
      </c>
      <c r="D52">
        <v>9999</v>
      </c>
      <c r="E52">
        <v>2015</v>
      </c>
      <c r="F52" t="s">
        <v>10</v>
      </c>
      <c r="G52">
        <v>1001.3</v>
      </c>
      <c r="H52">
        <v>1001.3</v>
      </c>
      <c r="J52">
        <f t="shared" si="0"/>
        <v>31.143999999999998</v>
      </c>
    </row>
    <row r="53" spans="1:10">
      <c r="A53" t="s">
        <v>49</v>
      </c>
      <c r="B53" t="s">
        <v>8</v>
      </c>
      <c r="C53" t="s">
        <v>64</v>
      </c>
      <c r="D53">
        <v>9999</v>
      </c>
      <c r="E53">
        <v>2015</v>
      </c>
      <c r="F53" t="s">
        <v>10</v>
      </c>
      <c r="G53">
        <v>1008.2</v>
      </c>
      <c r="H53">
        <v>1008.2</v>
      </c>
      <c r="J53">
        <f t="shared" si="0"/>
        <v>31.359000000000002</v>
      </c>
    </row>
    <row r="54" spans="1:10">
      <c r="A54" t="s">
        <v>49</v>
      </c>
      <c r="B54" t="s">
        <v>8</v>
      </c>
      <c r="C54" t="s">
        <v>65</v>
      </c>
      <c r="D54">
        <v>9999</v>
      </c>
      <c r="E54">
        <v>2015</v>
      </c>
      <c r="F54" t="s">
        <v>10</v>
      </c>
      <c r="G54">
        <v>982.4</v>
      </c>
      <c r="H54">
        <v>982.4</v>
      </c>
      <c r="J54">
        <f t="shared" si="0"/>
        <v>30.556000000000001</v>
      </c>
    </row>
    <row r="55" spans="1:10">
      <c r="A55" t="s">
        <v>49</v>
      </c>
      <c r="B55" t="s">
        <v>8</v>
      </c>
      <c r="C55" t="s">
        <v>66</v>
      </c>
      <c r="D55">
        <v>9999</v>
      </c>
      <c r="E55">
        <v>2015</v>
      </c>
      <c r="F55" t="s">
        <v>10</v>
      </c>
      <c r="G55">
        <v>974.4</v>
      </c>
      <c r="H55">
        <v>974.4</v>
      </c>
      <c r="J55">
        <f t="shared" si="0"/>
        <v>30.306999999999999</v>
      </c>
    </row>
    <row r="56" spans="1:10">
      <c r="A56" t="s">
        <v>49</v>
      </c>
      <c r="B56" t="s">
        <v>8</v>
      </c>
      <c r="C56" t="s">
        <v>67</v>
      </c>
      <c r="D56">
        <v>9999</v>
      </c>
      <c r="E56">
        <v>2015</v>
      </c>
      <c r="F56" t="s">
        <v>10</v>
      </c>
      <c r="G56">
        <v>1001.2</v>
      </c>
      <c r="H56">
        <v>1001.2</v>
      </c>
      <c r="J56">
        <f t="shared" si="0"/>
        <v>31.140999999999998</v>
      </c>
    </row>
    <row r="57" spans="1:10">
      <c r="A57" t="s">
        <v>49</v>
      </c>
      <c r="B57" t="s">
        <v>8</v>
      </c>
      <c r="C57" t="s">
        <v>68</v>
      </c>
      <c r="D57">
        <v>9999</v>
      </c>
      <c r="E57">
        <v>2015</v>
      </c>
      <c r="F57" t="s">
        <v>10</v>
      </c>
      <c r="G57">
        <v>999.1</v>
      </c>
      <c r="H57">
        <v>999.1</v>
      </c>
      <c r="J57">
        <f t="shared" si="0"/>
        <v>31.076000000000001</v>
      </c>
    </row>
    <row r="58" spans="1:10">
      <c r="A58" t="s">
        <v>49</v>
      </c>
      <c r="B58" t="s">
        <v>8</v>
      </c>
      <c r="C58" t="s">
        <v>69</v>
      </c>
      <c r="D58">
        <v>9999</v>
      </c>
      <c r="E58">
        <v>2015</v>
      </c>
      <c r="F58" t="s">
        <v>10</v>
      </c>
      <c r="G58">
        <v>951.2</v>
      </c>
      <c r="H58">
        <v>951.2</v>
      </c>
      <c r="J58">
        <f t="shared" si="0"/>
        <v>29.585999999999999</v>
      </c>
    </row>
    <row r="59" spans="1:10">
      <c r="A59" t="s">
        <v>49</v>
      </c>
      <c r="B59" t="s">
        <v>8</v>
      </c>
      <c r="C59" t="s">
        <v>70</v>
      </c>
      <c r="D59">
        <v>9999</v>
      </c>
      <c r="E59">
        <v>2015</v>
      </c>
      <c r="F59" t="s">
        <v>10</v>
      </c>
      <c r="G59">
        <v>1000</v>
      </c>
      <c r="H59">
        <v>1000</v>
      </c>
      <c r="J59">
        <f t="shared" si="0"/>
        <v>31.103999999999999</v>
      </c>
    </row>
    <row r="60" spans="1:10">
      <c r="A60" t="s">
        <v>49</v>
      </c>
      <c r="B60" t="s">
        <v>8</v>
      </c>
      <c r="C60" t="s">
        <v>71</v>
      </c>
      <c r="D60">
        <v>9999</v>
      </c>
      <c r="E60">
        <v>2015</v>
      </c>
      <c r="F60" t="s">
        <v>10</v>
      </c>
      <c r="G60">
        <v>993.1</v>
      </c>
      <c r="H60">
        <v>993.1</v>
      </c>
      <c r="J60">
        <f t="shared" si="0"/>
        <v>30.888999999999999</v>
      </c>
    </row>
    <row r="61" spans="1:10">
      <c r="A61" t="s">
        <v>49</v>
      </c>
      <c r="B61" t="s">
        <v>8</v>
      </c>
      <c r="C61" t="s">
        <v>72</v>
      </c>
      <c r="D61">
        <v>9999</v>
      </c>
      <c r="E61">
        <v>2015</v>
      </c>
      <c r="F61" t="s">
        <v>10</v>
      </c>
      <c r="G61">
        <v>1001.8</v>
      </c>
      <c r="H61">
        <v>1001.8</v>
      </c>
      <c r="J61">
        <f t="shared" si="0"/>
        <v>31.16</v>
      </c>
    </row>
    <row r="62" spans="1:10">
      <c r="A62" t="s">
        <v>49</v>
      </c>
      <c r="B62" t="s">
        <v>8</v>
      </c>
      <c r="C62" t="s">
        <v>73</v>
      </c>
      <c r="D62">
        <v>9999</v>
      </c>
      <c r="E62">
        <v>2015</v>
      </c>
      <c r="F62" t="s">
        <v>10</v>
      </c>
      <c r="G62">
        <v>994.2</v>
      </c>
      <c r="H62">
        <v>994.2</v>
      </c>
      <c r="J62">
        <f t="shared" si="0"/>
        <v>30.922999999999998</v>
      </c>
    </row>
    <row r="63" spans="1:10">
      <c r="A63" t="s">
        <v>49</v>
      </c>
      <c r="B63" t="s">
        <v>8</v>
      </c>
      <c r="C63" t="s">
        <v>74</v>
      </c>
      <c r="D63">
        <v>9999</v>
      </c>
      <c r="E63">
        <v>2015</v>
      </c>
      <c r="F63" t="s">
        <v>10</v>
      </c>
      <c r="G63">
        <v>1001.6</v>
      </c>
      <c r="H63">
        <v>1001.6</v>
      </c>
      <c r="J63">
        <f t="shared" si="0"/>
        <v>31.152999999999999</v>
      </c>
    </row>
    <row r="64" spans="1:10">
      <c r="A64" t="s">
        <v>49</v>
      </c>
      <c r="B64" t="s">
        <v>8</v>
      </c>
      <c r="C64" t="s">
        <v>75</v>
      </c>
      <c r="D64">
        <v>9999</v>
      </c>
      <c r="E64">
        <v>2015</v>
      </c>
      <c r="F64" t="s">
        <v>10</v>
      </c>
      <c r="G64">
        <v>970.1</v>
      </c>
      <c r="H64">
        <v>970.1</v>
      </c>
      <c r="J64">
        <f t="shared" si="0"/>
        <v>30.173999999999999</v>
      </c>
    </row>
    <row r="65" spans="1:10">
      <c r="A65" t="s">
        <v>49</v>
      </c>
      <c r="B65" t="s">
        <v>8</v>
      </c>
      <c r="C65" t="s">
        <v>76</v>
      </c>
      <c r="D65">
        <v>9999</v>
      </c>
      <c r="E65">
        <v>2015</v>
      </c>
      <c r="F65" t="s">
        <v>10</v>
      </c>
      <c r="G65">
        <v>997.9</v>
      </c>
      <c r="H65">
        <v>997.9</v>
      </c>
      <c r="J65">
        <f t="shared" si="0"/>
        <v>31.038</v>
      </c>
    </row>
    <row r="66" spans="1:10">
      <c r="A66" t="s">
        <v>49</v>
      </c>
      <c r="B66" t="s">
        <v>8</v>
      </c>
      <c r="C66" t="s">
        <v>77</v>
      </c>
      <c r="D66">
        <v>9999</v>
      </c>
      <c r="E66">
        <v>2015</v>
      </c>
      <c r="F66" t="s">
        <v>10</v>
      </c>
      <c r="G66">
        <v>1000.7</v>
      </c>
      <c r="H66">
        <v>1000.7</v>
      </c>
      <c r="J66">
        <f t="shared" si="0"/>
        <v>31.125</v>
      </c>
    </row>
    <row r="67" spans="1:10">
      <c r="A67" t="s">
        <v>49</v>
      </c>
      <c r="B67" t="s">
        <v>8</v>
      </c>
      <c r="C67" t="s">
        <v>78</v>
      </c>
      <c r="D67">
        <v>9999</v>
      </c>
      <c r="E67">
        <v>2015</v>
      </c>
      <c r="F67" t="s">
        <v>10</v>
      </c>
      <c r="G67">
        <v>989.9</v>
      </c>
      <c r="H67">
        <v>989.9</v>
      </c>
      <c r="J67">
        <f t="shared" ref="J67" si="1">ROUND(G67/32.1507,3)</f>
        <v>30.789000000000001</v>
      </c>
    </row>
    <row r="68" spans="1:10" ht="15" thickBot="1">
      <c r="J68" s="1">
        <f>SUM(J2:J67)</f>
        <v>2019.8389999999999</v>
      </c>
    </row>
    <row r="69" spans="1:10" ht="15" thickTop="1">
      <c r="J69" s="2">
        <f>COUNT(J2:J67)</f>
        <v>66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Jpmc.Sps.RecordsManagement, Version=1.0.0.0, Culture=neutral, PublicKeyToken=e8ead3752bfbf1f9</Assembly>
    <Class>Jpmc.Sps.RecordsManagement.EventReceivers.RecordContentTypeEventReceiver</Class>
    <Data/>
    <Filter/>
  </Receiver>
  <Receiver>
    <Name/>
    <Synchronization>Synchronous</Synchronization>
    <Type>10001</Type>
    <SequenceNumber>10000</SequenceNumber>
    <Url/>
    <Assembly>Jpmc.Sps.RecordsManagement, Version=1.0.0.0, Culture=neutral, PublicKeyToken=e8ead3752bfbf1f9</Assembly>
    <Class>Jpmc.Sps.RecordsManagement.EventReceivers.RecordContentTypeEventReceiver</Class>
    <Data/>
    <Filter/>
  </Receiver>
  <Receiver>
    <Name/>
    <Synchronization>Synchronous</Synchronization>
    <Type>2</Type>
    <SequenceNumber>10000</SequenceNumber>
    <Url/>
    <Assembly>Jpmc.Sps.RecordsManagement, Version=1.0.0.0, Culture=neutral, PublicKeyToken=e8ead3752bfbf1f9</Assembly>
    <Class>Jpmc.Sps.RecordsManagement.EventReceivers.RecordContentTypeEventReceiver</Class>
    <Data/>
    <Filter/>
  </Receiver>
  <Receiver>
    <Name/>
    <Synchronization>Synchronous</Synchronization>
    <Type>10002</Type>
    <SequenceNumber>10000</SequenceNumber>
    <Url/>
    <Assembly>Jpmc.Sps.RecordsManagement, Version=1.0.0.0, Culture=neutral, PublicKeyToken=e8ead3752bfbf1f9</Assembly>
    <Class>Jpmc.Sps.RecordsManagement.EventReceivers.RecordContentTypeEventReceiver</Class>
    <Data/>
    <Filter/>
  </Receiver>
  <Receiver>
    <Name/>
    <Synchronization>Synchronous</Synchronization>
    <Type>3</Type>
    <SequenceNumber>10000</SequenceNumber>
    <Url/>
    <Assembly>Jpmc.Sps.RecordsManagement, Version=1.0.0.0, Culture=neutral, PublicKeyToken=e8ead3752bfbf1f9</Assembly>
    <Class>Jpmc.Sps.RecordsManagement.EventReceivers.RecordContentTypeEventReceiver</Class>
    <Data/>
    <Filter/>
  </Receiver>
  <Receiver>
    <Name/>
    <Synchronization>Synchronous</Synchronization>
    <Type>10003</Type>
    <SequenceNumber>10000</SequenceNumber>
    <Url/>
    <Assembly>Jpmc.Sps.RecordsManagement, Version=1.0.0.0, Culture=neutral, PublicKeyToken=e8ead3752bfbf1f9</Assembly>
    <Class>Jpmc.Sps.RecordsManagement.EventReceivers.RecordContentTypeEventReceiver</Class>
    <Data/>
    <Filter/>
  </Receiver>
  <Receiver>
    <Name/>
    <Synchronization>Synchronous</Synchronization>
    <Type>11</Type>
    <SequenceNumber>10000</SequenceNumber>
    <Url/>
    <Assembly>Jpmc.Sps.RecordsManagement, Version=1.0.0.0, Culture=neutral, PublicKeyToken=e8ead3752bfbf1f9</Assembly>
    <Class>Jpmc.Sps.RecordsManagement.EventReceivers.RecordContentTypeEventReceiver</Class>
    <Data/>
    <Filter/>
  </Receiver>
  <Receiver>
    <Name/>
    <Synchronization>Synchronous</Synchronization>
    <Type>9</Type>
    <SequenceNumber>10000</SequenceNumber>
    <Url/>
    <Assembly>Jpmc.Sps.RecordsManagement, Version=1.0.0.0, Culture=neutral, PublicKeyToken=e8ead3752bfbf1f9</Assembly>
    <Class>Jpmc.Sps.RecordsManagement.EventReceivers.RecordContentTypeEventReceiver</Class>
    <Data/>
    <Filter/>
  </Receiver>
  <Receiver>
    <Name/>
    <Synchronization>Synchronous</Synchronization>
    <Type>10009</Type>
    <SequenceNumber>10000</SequenceNumber>
    <Url/>
    <Assembly>Jpmc.Sps.RecordsManagement, Version=1.0.0.0, Culture=neutral, PublicKeyToken=e8ead3752bfbf1f9</Assembly>
    <Class>Jpmc.Sps.RecordsManagement.EventReceivers.RecordContentTypeEventReceiver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JPMC Record" ma:contentTypeID="0x010100B04218B855DC944F9A559450E98DF04000F82FD0C4A20D014EB533EC403B658F94" ma:contentTypeVersion="14" ma:contentTypeDescription="Create a new record in this library." ma:contentTypeScope="" ma:versionID="7ee7278b6a161dfe5b825a80cc2f5666">
  <xsd:schema xmlns:xsd="http://www.w3.org/2001/XMLSchema" xmlns:xs="http://www.w3.org/2001/XMLSchema" xmlns:p="http://schemas.microsoft.com/office/2006/metadata/properties" xmlns:ns1="http://schemas.microsoft.com/sharepoint/v3" xmlns:ns2="4af9b942-1896-443c-b895-8d983a6986b2" targetNamespace="http://schemas.microsoft.com/office/2006/metadata/properties" ma:root="true" ma:fieldsID="fb323d96dbb240b299e860270ce5c976" ns1:_="" ns2:_="">
    <xsd:import namespace="http://schemas.microsoft.com/sharepoint/v3"/>
    <xsd:import namespace="4af9b942-1896-443c-b895-8d983a6986b2"/>
    <xsd:element name="properties">
      <xsd:complexType>
        <xsd:sequence>
          <xsd:element name="documentManagement">
            <xsd:complexType>
              <xsd:all>
                <xsd:element ref="ns2:Record_x0020_ID" minOccurs="0"/>
                <xsd:element ref="ns2:Record_x0020_Status" minOccurs="0"/>
                <xsd:element ref="ns2:Record_x0020_Class_x0020_Code" minOccurs="0"/>
                <xsd:element ref="ns2:Record_x0020_Class_x0020_Code_x0020_Country" minOccurs="0"/>
                <xsd:element ref="ns2:Record_x0020_Class_x0020_Code_x0020_Local" minOccurs="0"/>
                <xsd:element ref="ns2:Record_x0020_Finalized_x0020_By" minOccurs="0"/>
                <xsd:element ref="ns2:Record_x0020_Finalized_x0020_On" minOccurs="0"/>
                <xsd:element ref="ns2:Record_x0020_Retention_x0020_Type" minOccurs="0"/>
                <xsd:element ref="ns2:Record_x0020_Retention_x0020_Start_x0020_Date" minOccurs="0"/>
                <xsd:element ref="ns2:Record_x0020_Retention_x0020_End_x0020_Date" minOccurs="0"/>
                <xsd:element ref="ns2:Record_x0020_Legal_x0020_Hold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9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20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9b942-1896-443c-b895-8d983a6986b2" elementFormDefault="qualified">
    <xsd:import namespace="http://schemas.microsoft.com/office/2006/documentManagement/types"/>
    <xsd:import namespace="http://schemas.microsoft.com/office/infopath/2007/PartnerControls"/>
    <xsd:element name="Record_x0020_ID" ma:index="8" nillable="true" ma:displayName="Record ID" ma:description="Record ID" ma:internalName="Record_x0020_ID" ma:readOnly="true">
      <xsd:simpleType>
        <xsd:restriction base="dms:Text"/>
      </xsd:simpleType>
    </xsd:element>
    <xsd:element name="Record_x0020_Status" ma:index="9" nillable="true" ma:displayName="Record Status" ma:description="Record Status" ma:internalName="Record_x0020_Status" ma:readOnly="true">
      <xsd:simpleType>
        <xsd:restriction base="dms:Text"/>
      </xsd:simpleType>
    </xsd:element>
    <xsd:element name="Record_x0020_Class_x0020_Code" ma:index="10" nillable="true" ma:displayName="Record Class Code" ma:description="Record Class Code" ma:internalName="Record_x0020_Class_x0020_Code" ma:readOnly="true">
      <xsd:simpleType>
        <xsd:restriction base="dms:Text"/>
      </xsd:simpleType>
    </xsd:element>
    <xsd:element name="Record_x0020_Class_x0020_Code_x0020_Country" ma:index="11" nillable="true" ma:displayName="Record Class Code Country" ma:description="Record Class Code Country" ma:internalName="Record_x0020_Class_x0020_Code_x0020_Country" ma:readOnly="true">
      <xsd:simpleType>
        <xsd:restriction base="dms:Text"/>
      </xsd:simpleType>
    </xsd:element>
    <xsd:element name="Record_x0020_Class_x0020_Code_x0020_Local" ma:index="12" nillable="true" ma:displayName="Record Class Code Local" ma:description="Record Class Code Local" ma:internalName="Record_x0020_Class_x0020_Code_x0020_Local" ma:readOnly="true">
      <xsd:simpleType>
        <xsd:restriction base="dms:Text"/>
      </xsd:simpleType>
    </xsd:element>
    <xsd:element name="Record_x0020_Finalized_x0020_By" ma:index="13" nillable="true" ma:displayName="Record Finalized By" ma:description="Record Finalized By" ma:list="UserInfo" ma:internalName="Record_x0020_Finalized_x0020_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cord_x0020_Finalized_x0020_On" ma:index="14" nillable="true" ma:displayName="Record Finalized On" ma:description="Record Finalized On" ma:format="DateOnly" ma:internalName="Record_x0020_Finalized_x0020_On" ma:readOnly="true">
      <xsd:simpleType>
        <xsd:restriction base="dms:DateTime"/>
      </xsd:simpleType>
    </xsd:element>
    <xsd:element name="Record_x0020_Retention_x0020_Type" ma:index="15" nillable="true" ma:displayName="Record Retention Type" ma:description="Record Retention Type" ma:internalName="Record_x0020_Retention_x0020_Type" ma:readOnly="true">
      <xsd:simpleType>
        <xsd:restriction base="dms:Text"/>
      </xsd:simpleType>
    </xsd:element>
    <xsd:element name="Record_x0020_Retention_x0020_Start_x0020_Date" ma:index="16" nillable="true" ma:displayName="Record Retention Start Date" ma:description="Record Retention Start Date" ma:format="DateOnly" ma:internalName="Record_x0020_Retention_x0020_Start_x0020_Date" ma:readOnly="true">
      <xsd:simpleType>
        <xsd:restriction base="dms:DateTime"/>
      </xsd:simpleType>
    </xsd:element>
    <xsd:element name="Record_x0020_Retention_x0020_End_x0020_Date" ma:index="17" nillable="true" ma:displayName="Record Retention End Date" ma:description="Record Retention End Date" ma:format="DateOnly" ma:internalName="Record_x0020_Retention_x0020_End_x0020_Date" ma:readOnly="true">
      <xsd:simpleType>
        <xsd:restriction base="dms:DateTime"/>
      </xsd:simpleType>
    </xsd:element>
    <xsd:element name="Record_x0020_Legal_x0020_Hold" ma:index="18" nillable="true" ma:displayName="Record Legal Hold" ma:description="Record Legal Hold" ma:internalName="Record_x0020_Legal_x0020_Hol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_x0020_Class_x0020_Code xmlns="4af9b942-1896-443c-b895-8d983a6986b2">US: BIZ010Y</Record_x0020_Class_x0020_Code>
    <Record_x0020_Status xmlns="4af9b942-1896-443c-b895-8d983a6986b2">Work In Progress</Record_x0020_Status>
    <Record_x0020_ID xmlns="4af9b942-1896-443c-b895-8d983a6986b2">151279317</Record_x0020_ID>
    <Record_x0020_Legal_x0020_Hold xmlns="4af9b942-1896-443c-b895-8d983a6986b2">false</Record_x0020_Legal_x0020_Hold>
    <Record_x0020_Retention_x0020_End_x0020_Date xmlns="4af9b942-1896-443c-b895-8d983a6986b2">2036-03-12T04:00:00+00:00</Record_x0020_Retention_x0020_End_x0020_Date>
    <Record_x0020_Class_x0020_Code_x0020_Local xmlns="4af9b942-1896-443c-b895-8d983a6986b2">BIZ010Y</Record_x0020_Class_x0020_Code_x0020_Local>
    <Record_x0020_Class_x0020_Code_x0020_Country xmlns="4af9b942-1896-443c-b895-8d983a6986b2">United States</Record_x0020_Class_x0020_Code_x0020_Country>
    <Record_x0020_Retention_x0020_Type xmlns="4af9b942-1896-443c-b895-8d983a6986b2">Flat</Record_x0020_Retention_x0020_Type>
    <Record_x0020_Retention_x0020_Start_x0020_Date xmlns="4af9b942-1896-443c-b895-8d983a6986b2">2026-03-12T04:00:00+00:00</Record_x0020_Retention_x0020_Start_x0020_Date>
    <PublishingExpirationDate xmlns="http://schemas.microsoft.com/sharepoint/v3" xsi:nil="true"/>
    <PublishingStartDate xmlns="http://schemas.microsoft.com/sharepoint/v3" xsi:nil="true"/>
    <Record_x0020_Finalized_x0020_By xmlns="4af9b942-1896-443c-b895-8d983a6986b2">
      <UserInfo>
        <DisplayName/>
        <AccountId xsi:nil="true"/>
        <AccountType/>
      </UserInfo>
    </Record_x0020_Finalized_x0020_By>
    <Record_x0020_Finalized_x0020_On xmlns="4af9b942-1896-443c-b895-8d983a6986b2" xsi:nil="true"/>
  </documentManagement>
</p:properties>
</file>

<file path=customXml/itemProps1.xml><?xml version="1.0" encoding="utf-8"?>
<ds:datastoreItem xmlns:ds="http://schemas.openxmlformats.org/officeDocument/2006/customXml" ds:itemID="{5B7C81BA-CC8A-4EFD-BFD6-9276055C7C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473743-6B50-4AF9-B341-1874D8250FA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A9B1BF3-E4A9-4CC6-B2DB-6A2DC35EBC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f9b942-1896-443c-b895-8d983a6986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13D7493-4CD2-43BD-998C-0B60212A34F4}">
  <ds:schemaRefs>
    <ds:schemaRef ds:uri="http://schemas.microsoft.com/office/2006/metadata/properties"/>
    <ds:schemaRef ds:uri="http://schemas.microsoft.com/office/infopath/2007/PartnerControls"/>
    <ds:schemaRef ds:uri="4af9b942-1896-443c-b895-8d983a6986b2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Shuang (CIB OPS, CHN) - China</dc:creator>
  <cp:lastModifiedBy>Carol Lau</cp:lastModifiedBy>
  <dcterms:created xsi:type="dcterms:W3CDTF">2026-03-13T02:24:26Z</dcterms:created>
  <dcterms:modified xsi:type="dcterms:W3CDTF">2026-03-20T04:44:45Z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0x010100B04218B855DC944F9A559450E98DF04000F82FD0C4A20D014EB533EC403B658F94</vt:lpwstr>
  </property>
</Properties>
</file>