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8081B27-00C1-40BB-AF08-9F7FFBCB34C5}" xr6:coauthVersionLast="47" xr6:coauthVersionMax="47" xr10:uidLastSave="{00000000-0000-0000-0000-000000000000}"/>
  <bookViews>
    <workbookView xWindow="-80" yWindow="880" windowWidth="12370" windowHeight="10780" xr2:uid="{B64B8CED-D1A6-48BD-84EC-3AF14DA2B4B1}"/>
  </bookViews>
  <sheets>
    <sheet name="Y03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C43" i="1" s="1"/>
  <c r="C2" i="1"/>
</calcChain>
</file>

<file path=xl/sharedStrings.xml><?xml version="1.0" encoding="utf-8"?>
<sst xmlns="http://schemas.openxmlformats.org/spreadsheetml/2006/main" count="37" uniqueCount="37">
  <si>
    <t>No. of bars:</t>
  </si>
  <si>
    <t>PALLET 1</t>
    <phoneticPr fontId="5" type="noConversion"/>
  </si>
  <si>
    <t>Net weight (kg)</t>
    <phoneticPr fontId="5" type="noConversion"/>
  </si>
  <si>
    <t>#1 板</t>
    <phoneticPr fontId="5" type="noConversion"/>
  </si>
  <si>
    <t>1025000097</t>
  </si>
  <si>
    <t>1025000098</t>
  </si>
  <si>
    <t>1025000099</t>
  </si>
  <si>
    <t>11250727</t>
  </si>
  <si>
    <t>11250728</t>
  </si>
  <si>
    <t>11250729</t>
  </si>
  <si>
    <t>11250730</t>
  </si>
  <si>
    <t>11250731</t>
  </si>
  <si>
    <t>11250732</t>
  </si>
  <si>
    <t>11250733</t>
  </si>
  <si>
    <t>11250734</t>
  </si>
  <si>
    <t>11250735</t>
  </si>
  <si>
    <t>11250736</t>
  </si>
  <si>
    <t>11250737</t>
  </si>
  <si>
    <t>11250738</t>
  </si>
  <si>
    <t>11250739</t>
  </si>
  <si>
    <t>11250740</t>
  </si>
  <si>
    <t>11250741</t>
  </si>
  <si>
    <t>11250742</t>
  </si>
  <si>
    <t>11250743</t>
  </si>
  <si>
    <t>11250744</t>
  </si>
  <si>
    <t>11250745</t>
  </si>
  <si>
    <t>11250746</t>
  </si>
  <si>
    <t>11250747</t>
  </si>
  <si>
    <t>11250748</t>
  </si>
  <si>
    <t>11250749</t>
  </si>
  <si>
    <t>11250750</t>
  </si>
  <si>
    <t>11250751</t>
  </si>
  <si>
    <t>11250752</t>
  </si>
  <si>
    <t>11250753</t>
  </si>
  <si>
    <t>11250754</t>
  </si>
  <si>
    <t>11250755</t>
  </si>
  <si>
    <t>11250756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</si>
</sst>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0.00_);[Red]\(0.00\)"/>
    <numFmt numFmtId="178" formatCode="0.0000_);[Red]\(0.0000\)"/>
    <numFmt numFmtId="179" formatCode="#,##0.0000_ "/>
  </numFmts>
  <fonts count="10">
    <font>
      <sz val="11"/>
      <color theme="1"/>
      <name val="新細明體"/>
      <family val="2"/>
      <charset val="136"/>
      <scheme val="minor"/>
    </font>
    <font>
      <sz val="12"/>
      <name val="宋体"/>
      <charset val="134"/>
    </font>
    <font>
      <b/>
      <sz val="14"/>
      <name val="Calibri"/>
      <family val="2"/>
    </font>
    <font>
      <sz val="9"/>
      <name val="Arial"/>
      <family val="2"/>
      <charset val="136"/>
    </font>
    <font>
      <sz val="14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name val="新細明體"/>
      <family val="1"/>
      <charset val="136"/>
      <scheme val="minor"/>
    </font>
    <font>
      <sz val="10"/>
      <name val="Arial"/>
      <family val="2"/>
    </font>
    <font>
      <sz val="14"/>
      <name val="Calibri"/>
      <family val="2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7" fillId="0" borderId="0"/>
  </cellStyleXfs>
  <cellXfs count="12">
    <xf numFmtId="0" fontId="0" fillId="0" borderId="0" xfId="0">
      <alignment vertical="center"/>
    </xf>
    <xf numFmtId="176" fontId="2" fillId="2" borderId="1" xfId="1" applyNumberFormat="1" applyFont="1" applyFill="1" applyBorder="1" applyAlignment="1">
      <alignment horizontal="right"/>
    </xf>
    <xf numFmtId="177" fontId="2" fillId="2" borderId="1" xfId="1" applyNumberFormat="1" applyFont="1" applyFill="1" applyBorder="1" applyAlignment="1">
      <alignment horizontal="left"/>
    </xf>
    <xf numFmtId="0" fontId="4" fillId="0" borderId="0" xfId="0" applyFont="1">
      <alignment vertical="center"/>
    </xf>
    <xf numFmtId="177" fontId="6" fillId="3" borderId="1" xfId="2" applyNumberFormat="1" applyFont="1" applyFill="1" applyBorder="1" applyAlignment="1">
      <alignment horizontal="center"/>
    </xf>
    <xf numFmtId="0" fontId="8" fillId="0" borderId="1" xfId="3" applyFont="1" applyBorder="1" applyAlignment="1">
      <alignment horizontal="center"/>
    </xf>
    <xf numFmtId="178" fontId="8" fillId="0" borderId="1" xfId="3" applyNumberFormat="1" applyFont="1" applyBorder="1" applyAlignment="1">
      <alignment horizontal="center"/>
    </xf>
    <xf numFmtId="178" fontId="4" fillId="0" borderId="0" xfId="0" applyNumberFormat="1" applyFont="1">
      <alignment vertical="center"/>
    </xf>
    <xf numFmtId="179" fontId="2" fillId="4" borderId="2" xfId="3" applyNumberFormat="1" applyFont="1" applyFill="1" applyBorder="1"/>
    <xf numFmtId="177" fontId="2" fillId="0" borderId="0" xfId="3" applyNumberFormat="1" applyFont="1" applyAlignment="1">
      <alignment horizontal="center"/>
    </xf>
    <xf numFmtId="177" fontId="4" fillId="0" borderId="0" xfId="0" applyNumberFormat="1" applyFont="1">
      <alignment vertical="center"/>
    </xf>
    <xf numFmtId="0" fontId="9" fillId="0" borderId="0" xfId="0" applyFont="1">
      <alignment vertical="center"/>
    </xf>
  </cellXfs>
  <cellStyles count="4">
    <cellStyle name="Normal_AG239 Torch Metal 15tons 2" xfId="3" xr:uid="{F2BEC55F-B03A-425B-B758-C88FCD6F8D38}"/>
    <cellStyle name="Normal_AG453 Jiangxi Copper 20tons 2" xfId="1" xr:uid="{EB396C95-EE49-4B8A-9090-8E4B18ADEBB7}"/>
    <cellStyle name="一般" xfId="0" builtinId="0"/>
    <cellStyle name="一般 8" xfId="2" xr:uid="{9CD57F99-1AF8-4570-8CD8-19EF9B2B59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56A1-8D22-413B-BDA8-8BBFEFC6FBF7}">
  <sheetPr>
    <pageSetUpPr fitToPage="1"/>
  </sheetPr>
  <dimension ref="A2:E43"/>
  <sheetViews>
    <sheetView tabSelected="1" topLeftCell="A28" zoomScale="70" zoomScaleNormal="70" workbookViewId="0">
      <selection activeCell="H40" sqref="H40"/>
    </sheetView>
  </sheetViews>
  <sheetFormatPr defaultColWidth="8.8984375" defaultRowHeight="19.5"/>
  <cols>
    <col min="1" max="1" width="8.8984375" style="11"/>
    <col min="2" max="2" width="16.796875" style="3" customWidth="1"/>
    <col min="3" max="3" width="20.296875" style="10" customWidth="1"/>
    <col min="4" max="5" width="15.796875" style="3" customWidth="1"/>
    <col min="6" max="16384" width="8.8984375" style="3"/>
  </cols>
  <sheetData>
    <row r="2" spans="1:5">
      <c r="B2" s="1" t="s">
        <v>0</v>
      </c>
      <c r="C2" s="2">
        <f>COUNT(C5:C40)</f>
        <v>33</v>
      </c>
    </row>
    <row r="4" spans="1:5">
      <c r="B4" s="1" t="s">
        <v>1</v>
      </c>
      <c r="C4" s="4" t="s">
        <v>2</v>
      </c>
    </row>
    <row r="5" spans="1:5">
      <c r="A5" s="11">
        <v>1</v>
      </c>
      <c r="B5" s="5" t="s">
        <v>4</v>
      </c>
      <c r="C5" s="6">
        <v>30.503</v>
      </c>
      <c r="D5" s="7"/>
      <c r="E5" s="7"/>
    </row>
    <row r="6" spans="1:5">
      <c r="A6" s="11">
        <v>2</v>
      </c>
      <c r="B6" s="5" t="s">
        <v>5</v>
      </c>
      <c r="C6" s="6">
        <v>30.282</v>
      </c>
      <c r="D6" s="7"/>
      <c r="E6" s="7"/>
    </row>
    <row r="7" spans="1:5">
      <c r="A7" s="11">
        <v>3</v>
      </c>
      <c r="B7" s="5" t="s">
        <v>6</v>
      </c>
      <c r="C7" s="6">
        <v>30.306999999999999</v>
      </c>
      <c r="D7" s="7"/>
      <c r="E7" s="7"/>
    </row>
    <row r="8" spans="1:5">
      <c r="A8" s="11">
        <v>4</v>
      </c>
      <c r="B8" s="5" t="s">
        <v>7</v>
      </c>
      <c r="C8" s="6">
        <v>31.274999999999999</v>
      </c>
      <c r="D8" s="7"/>
      <c r="E8" s="7"/>
    </row>
    <row r="9" spans="1:5">
      <c r="A9" s="11">
        <v>5</v>
      </c>
      <c r="B9" s="5" t="s">
        <v>8</v>
      </c>
      <c r="C9" s="6">
        <v>29.962</v>
      </c>
      <c r="D9" s="7"/>
      <c r="E9" s="7"/>
    </row>
    <row r="10" spans="1:5">
      <c r="A10" s="11">
        <v>6</v>
      </c>
      <c r="B10" s="5" t="s">
        <v>9</v>
      </c>
      <c r="C10" s="6">
        <v>30.882999999999999</v>
      </c>
      <c r="D10" s="7"/>
      <c r="E10" s="7"/>
    </row>
    <row r="11" spans="1:5">
      <c r="A11" s="11">
        <v>7</v>
      </c>
      <c r="B11" s="5" t="s">
        <v>10</v>
      </c>
      <c r="C11" s="6">
        <v>30.317</v>
      </c>
      <c r="D11" s="7"/>
      <c r="E11" s="7"/>
    </row>
    <row r="12" spans="1:5">
      <c r="A12" s="11">
        <v>8</v>
      </c>
      <c r="B12" s="5" t="s">
        <v>11</v>
      </c>
      <c r="C12" s="6">
        <v>30.852</v>
      </c>
      <c r="D12" s="7"/>
      <c r="E12" s="7"/>
    </row>
    <row r="13" spans="1:5">
      <c r="A13" s="11">
        <v>9</v>
      </c>
      <c r="B13" s="5" t="s">
        <v>12</v>
      </c>
      <c r="C13" s="6">
        <v>30.009</v>
      </c>
      <c r="D13" s="7"/>
      <c r="E13" s="7"/>
    </row>
    <row r="14" spans="1:5">
      <c r="A14" s="11">
        <v>10</v>
      </c>
      <c r="B14" s="5" t="s">
        <v>13</v>
      </c>
      <c r="C14" s="6">
        <v>30.341000000000001</v>
      </c>
      <c r="D14" s="7"/>
      <c r="E14" s="7"/>
    </row>
    <row r="15" spans="1:5">
      <c r="A15" s="11">
        <v>11</v>
      </c>
      <c r="B15" s="5" t="s">
        <v>14</v>
      </c>
      <c r="C15" s="6">
        <v>31.536000000000001</v>
      </c>
      <c r="D15" s="7"/>
      <c r="E15" s="7"/>
    </row>
    <row r="16" spans="1:5">
      <c r="A16" s="11">
        <v>12</v>
      </c>
      <c r="B16" s="5" t="s">
        <v>15</v>
      </c>
      <c r="C16" s="6">
        <v>30.024000000000001</v>
      </c>
      <c r="D16" s="7"/>
      <c r="E16" s="7"/>
    </row>
    <row r="17" spans="1:5">
      <c r="A17" s="11">
        <v>13</v>
      </c>
      <c r="B17" s="5" t="s">
        <v>16</v>
      </c>
      <c r="C17" s="6">
        <v>30.928999999999998</v>
      </c>
      <c r="D17" s="7"/>
      <c r="E17" s="7"/>
    </row>
    <row r="18" spans="1:5">
      <c r="A18" s="11">
        <v>14</v>
      </c>
      <c r="B18" s="5" t="s">
        <v>17</v>
      </c>
      <c r="C18" s="6">
        <v>29.893999999999998</v>
      </c>
      <c r="D18" s="7"/>
      <c r="E18" s="7"/>
    </row>
    <row r="19" spans="1:5">
      <c r="A19" s="11">
        <v>15</v>
      </c>
      <c r="B19" s="5" t="s">
        <v>18</v>
      </c>
      <c r="C19" s="6">
        <v>30.266999999999999</v>
      </c>
      <c r="D19" s="7"/>
      <c r="E19" s="7"/>
    </row>
    <row r="20" spans="1:5">
      <c r="A20" s="11">
        <v>16</v>
      </c>
      <c r="B20" s="5" t="s">
        <v>19</v>
      </c>
      <c r="C20" s="6">
        <v>30.506</v>
      </c>
      <c r="D20" s="7"/>
      <c r="E20" s="7"/>
    </row>
    <row r="21" spans="1:5">
      <c r="A21" s="11">
        <v>17</v>
      </c>
      <c r="B21" s="5" t="s">
        <v>20</v>
      </c>
      <c r="C21" s="6">
        <v>30.677</v>
      </c>
      <c r="D21" s="7"/>
      <c r="E21" s="7"/>
    </row>
    <row r="22" spans="1:5">
      <c r="A22" s="11">
        <v>18</v>
      </c>
      <c r="B22" s="5" t="s">
        <v>21</v>
      </c>
      <c r="C22" s="6">
        <v>30.422000000000001</v>
      </c>
      <c r="D22" s="7"/>
      <c r="E22" s="7"/>
    </row>
    <row r="23" spans="1:5">
      <c r="A23" s="11">
        <v>19</v>
      </c>
      <c r="B23" s="5" t="s">
        <v>22</v>
      </c>
      <c r="C23" s="6">
        <v>30.263999999999999</v>
      </c>
      <c r="D23" s="7"/>
      <c r="E23" s="7"/>
    </row>
    <row r="24" spans="1:5">
      <c r="A24" s="11">
        <v>20</v>
      </c>
      <c r="B24" s="5" t="s">
        <v>23</v>
      </c>
      <c r="C24" s="6">
        <v>31.420999999999999</v>
      </c>
      <c r="D24" s="7"/>
      <c r="E24" s="7"/>
    </row>
    <row r="25" spans="1:5">
      <c r="A25" s="11">
        <v>21</v>
      </c>
      <c r="B25" s="5" t="s">
        <v>24</v>
      </c>
      <c r="C25" s="6">
        <v>30.289000000000001</v>
      </c>
      <c r="D25" s="7"/>
      <c r="E25" s="7"/>
    </row>
    <row r="26" spans="1:5">
      <c r="A26" s="11">
        <v>22</v>
      </c>
      <c r="B26" s="5" t="s">
        <v>25</v>
      </c>
      <c r="C26" s="6">
        <v>30.699000000000002</v>
      </c>
      <c r="D26" s="7"/>
      <c r="E26" s="7"/>
    </row>
    <row r="27" spans="1:5">
      <c r="A27" s="11">
        <v>23</v>
      </c>
      <c r="B27" s="5" t="s">
        <v>26</v>
      </c>
      <c r="C27" s="6">
        <v>30.323</v>
      </c>
      <c r="D27" s="7"/>
      <c r="E27" s="7"/>
    </row>
    <row r="28" spans="1:5">
      <c r="A28" s="11">
        <v>24</v>
      </c>
      <c r="B28" s="5" t="s">
        <v>27</v>
      </c>
      <c r="C28" s="6">
        <v>30.312999999999999</v>
      </c>
      <c r="D28" s="7"/>
      <c r="E28" s="7"/>
    </row>
    <row r="29" spans="1:5">
      <c r="A29" s="11">
        <v>25</v>
      </c>
      <c r="B29" s="5" t="s">
        <v>28</v>
      </c>
      <c r="C29" s="6">
        <v>30.687000000000001</v>
      </c>
      <c r="D29" s="7"/>
      <c r="E29" s="7"/>
    </row>
    <row r="30" spans="1:5">
      <c r="A30" s="11">
        <v>26</v>
      </c>
      <c r="B30" s="5" t="s">
        <v>29</v>
      </c>
      <c r="C30" s="6">
        <v>30.55</v>
      </c>
      <c r="D30" s="7"/>
      <c r="E30" s="7"/>
    </row>
    <row r="31" spans="1:5">
      <c r="A31" s="11">
        <v>27</v>
      </c>
      <c r="B31" s="5" t="s">
        <v>30</v>
      </c>
      <c r="C31" s="6">
        <v>30.45</v>
      </c>
      <c r="D31" s="7"/>
      <c r="E31" s="7"/>
    </row>
    <row r="32" spans="1:5">
      <c r="A32" s="11">
        <v>28</v>
      </c>
      <c r="B32" s="5" t="s">
        <v>31</v>
      </c>
      <c r="C32" s="6">
        <v>30.506</v>
      </c>
      <c r="D32" s="7"/>
      <c r="E32" s="7"/>
    </row>
    <row r="33" spans="1:5">
      <c r="A33" s="11">
        <v>29</v>
      </c>
      <c r="B33" s="5" t="s">
        <v>32</v>
      </c>
      <c r="C33" s="6">
        <v>31.143999999999998</v>
      </c>
      <c r="D33" s="7"/>
      <c r="E33" s="7"/>
    </row>
    <row r="34" spans="1:5">
      <c r="A34" s="11">
        <v>30</v>
      </c>
      <c r="B34" s="5" t="s">
        <v>33</v>
      </c>
      <c r="C34" s="6">
        <v>30.748999999999999</v>
      </c>
      <c r="D34" s="7"/>
      <c r="E34" s="7"/>
    </row>
    <row r="35" spans="1:5">
      <c r="A35" s="11">
        <v>31</v>
      </c>
      <c r="B35" s="5" t="s">
        <v>34</v>
      </c>
      <c r="C35" s="6">
        <v>30.22</v>
      </c>
      <c r="D35" s="7"/>
      <c r="E35" s="7"/>
    </row>
    <row r="36" spans="1:5">
      <c r="A36" s="11">
        <v>32</v>
      </c>
      <c r="B36" s="5" t="s">
        <v>35</v>
      </c>
      <c r="C36" s="6">
        <v>30.541</v>
      </c>
      <c r="D36" s="7"/>
      <c r="E36" s="7"/>
    </row>
    <row r="37" spans="1:5">
      <c r="A37" s="11">
        <v>33</v>
      </c>
      <c r="B37" s="5" t="s">
        <v>36</v>
      </c>
      <c r="C37" s="6">
        <v>30.225999999999999</v>
      </c>
      <c r="D37" s="7"/>
      <c r="E37" s="7"/>
    </row>
    <row r="38" spans="1:5">
      <c r="B38" s="5"/>
      <c r="C38" s="6"/>
      <c r="D38" s="7"/>
      <c r="E38" s="7"/>
    </row>
    <row r="39" spans="1:5">
      <c r="B39" s="5"/>
      <c r="C39" s="6"/>
      <c r="D39" s="7"/>
      <c r="E39" s="7"/>
    </row>
    <row r="40" spans="1:5" ht="20" thickBot="1">
      <c r="B40" s="5"/>
      <c r="C40" s="6"/>
      <c r="D40" s="7"/>
      <c r="E40" s="7"/>
    </row>
    <row r="41" spans="1:5" ht="20" thickBot="1">
      <c r="C41" s="8">
        <f>SUM(C5:C40)</f>
        <v>1007.3680000000001</v>
      </c>
    </row>
    <row r="42" spans="1:5" ht="20" thickBot="1">
      <c r="C42" s="9"/>
    </row>
    <row r="43" spans="1:5" ht="20" thickBot="1">
      <c r="B43" s="8" t="s">
        <v>3</v>
      </c>
      <c r="C43" s="8">
        <f>+C41</f>
        <v>1007.3680000000001</v>
      </c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Y0302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Lau</dc:creator>
  <cp:lastModifiedBy>Carol Lau</cp:lastModifiedBy>
  <cp:lastPrinted>2026-03-02T14:00:39Z</cp:lastPrinted>
  <dcterms:created xsi:type="dcterms:W3CDTF">2026-02-27T10:07:24Z</dcterms:created>
  <dcterms:modified xsi:type="dcterms:W3CDTF">2026-03-03T08:42:40Z</dcterms:modified>
</cp:coreProperties>
</file>