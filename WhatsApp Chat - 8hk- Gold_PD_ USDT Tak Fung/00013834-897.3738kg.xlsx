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09F2E7C-402F-43A6-A1A8-47A0880BC227}" xr6:coauthVersionLast="47" xr6:coauthVersionMax="47" xr10:uidLastSave="{00000000-0000-0000-0000-000000000000}"/>
  <bookViews>
    <workbookView xWindow="-110" yWindow="-110" windowWidth="19420" windowHeight="11500" xr2:uid="{71F70444-6726-4B2D-94E9-C8B069E5885D}"/>
  </bookViews>
  <sheets>
    <sheet name="0.9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Banks">'[1]Expense Input'!$K$30:$L$34</definedName>
    <definedName name="COIN_CODE">[2]CODE!$C$2:$C$50</definedName>
    <definedName name="_xlnm.Extract">#REF!</definedName>
    <definedName name="ISO_CODE">[4]CODE!$B$2:$B$239</definedName>
    <definedName name="ISO_N_CODE">[2]CODE!$B$2:$B$239</definedName>
    <definedName name="JR_PAGE_ANCHOR_0_1">#REF!</definedName>
    <definedName name="PM">[5]Legend!#REF!</definedName>
    <definedName name="PreciousMetal">[5]Legend!#REF!</definedName>
    <definedName name="_xlnm.Print_Area" localSheetId="0">'0.9'!#REF!</definedName>
    <definedName name="SDASD">#REF!</definedName>
    <definedName name="SUB_TOTAL_LINE">#REF!</definedName>
    <definedName name="TAB_LINE">#REF!</definedName>
    <definedName name="TARGET_T_CODE">[4]CODE!$F$2:$F$10</definedName>
    <definedName name="TEX_N_CODE">[2]CODE!$A$2:$A$239</definedName>
    <definedName name="箱號">'[6]出倉入箱 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1" l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F32" i="1" l="1"/>
</calcChain>
</file>

<file path=xl/sharedStrings.xml><?xml version="1.0" encoding="utf-8"?>
<sst xmlns="http://schemas.openxmlformats.org/spreadsheetml/2006/main" count="94" uniqueCount="36">
  <si>
    <t>Brand</t>
    <phoneticPr fontId="4" type="noConversion"/>
  </si>
  <si>
    <t>Bar number</t>
    <phoneticPr fontId="4" type="noConversion"/>
  </si>
  <si>
    <t>Weight (oz)</t>
    <phoneticPr fontId="4" type="noConversion"/>
  </si>
  <si>
    <t>Weight (kg)</t>
    <phoneticPr fontId="4" type="noConversion"/>
  </si>
  <si>
    <t>KAZZ</t>
  </si>
  <si>
    <t>Pallet 63</t>
  </si>
  <si>
    <t>2019-0085-05</t>
  </si>
  <si>
    <t>2019-0085-06</t>
  </si>
  <si>
    <t>2019-0085-07</t>
  </si>
  <si>
    <t>2019-0085-08</t>
  </si>
  <si>
    <t>2019-0085-09</t>
  </si>
  <si>
    <t>2019-0085-10</t>
  </si>
  <si>
    <t>2019-0086-01</t>
  </si>
  <si>
    <t>2019-0086-02</t>
  </si>
  <si>
    <t>2019-0086-03</t>
  </si>
  <si>
    <t>2019-0086-04</t>
  </si>
  <si>
    <t>2019-0086-05</t>
  </si>
  <si>
    <t>2019-0086-06</t>
  </si>
  <si>
    <t>2019-0086-07</t>
  </si>
  <si>
    <t>2019-0086-08</t>
  </si>
  <si>
    <t>2019-0086-09</t>
  </si>
  <si>
    <t>2019-0086-10</t>
  </si>
  <si>
    <t>2019-0087-01</t>
  </si>
  <si>
    <t>2019-0087-02</t>
  </si>
  <si>
    <t>2019-0087-03</t>
  </si>
  <si>
    <t>2019-0087-04</t>
  </si>
  <si>
    <t>2019-0087-05</t>
  </si>
  <si>
    <t>2019-0087-06</t>
  </si>
  <si>
    <t>2019-0087-07</t>
  </si>
  <si>
    <t>2019-0087-08</t>
  </si>
  <si>
    <t>2019-0087-09</t>
  </si>
  <si>
    <t>2019-0087-10</t>
  </si>
  <si>
    <t>2019-0087-11</t>
  </si>
  <si>
    <t>2019-0088-01</t>
  </si>
  <si>
    <t>2019-0088-02</t>
  </si>
  <si>
    <t>2019-0088-03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</si>
</sst>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_-* #,##0.000_-;\-* #,##0.000_-;_-* &quot;-&quot;??_-;_-@_-"/>
  </numFmts>
  <fonts count="6">
    <font>
      <sz val="11"/>
      <color theme="1"/>
      <name val="新細明體"/>
      <family val="2"/>
      <scheme val="minor"/>
    </font>
    <font>
      <sz val="11"/>
      <color theme="1"/>
      <name val="新細明體"/>
      <family val="2"/>
      <charset val="134"/>
      <scheme val="minor"/>
    </font>
    <font>
      <sz val="14"/>
      <color theme="1"/>
      <name val="新細明體"/>
      <scheme val="minor"/>
    </font>
    <font>
      <sz val="9"/>
      <name val="Arial"/>
      <family val="2"/>
      <charset val="136"/>
    </font>
    <font>
      <sz val="9"/>
      <name val="新細明體"/>
      <family val="3"/>
      <charset val="136"/>
      <scheme val="minor"/>
    </font>
    <font>
      <sz val="14"/>
      <color theme="1"/>
      <name val="新細明體"/>
      <family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10">
    <xf numFmtId="0" fontId="0" fillId="0" borderId="0" xfId="0"/>
    <xf numFmtId="0" fontId="2" fillId="0" borderId="0" xfId="1" applyFont="1" applyAlignment="1"/>
    <xf numFmtId="0" fontId="5" fillId="0" borderId="0" xfId="1" applyFont="1">
      <alignment vertical="center"/>
    </xf>
    <xf numFmtId="0" fontId="5" fillId="0" borderId="1" xfId="1" applyFont="1" applyBorder="1" applyAlignment="1"/>
    <xf numFmtId="0" fontId="5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176" fontId="5" fillId="0" borderId="0" xfId="2" applyNumberFormat="1" applyFont="1" applyFill="1" applyAlignment="1">
      <alignment horizontal="center" vertical="center"/>
    </xf>
    <xf numFmtId="176" fontId="5" fillId="0" borderId="0" xfId="0" applyNumberFormat="1" applyFont="1"/>
  </cellXfs>
  <cellStyles count="3">
    <cellStyle name="一般" xfId="0" builtinId="0"/>
    <cellStyle name="一般 11" xfId="1" xr:uid="{A60E8396-EE4D-4F88-BF05-0DDFC475977B}"/>
    <cellStyle name="千分位 12" xfId="2" xr:uid="{CD060F00-D27C-4D5C-B80F-E69AD12FE5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ksdataserver\VLookUp%20-%20Expense%20Acct%20Ticket%2009041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hkdsfnp01\IAC_SWH$\kpmgetax\&#44256;&#47140;&#50500;&#50672;\&#44397;&#51228;&#51312;&#49464;-1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PD%200325.xlsx" TargetMode="External"/><Relationship Id="rId1" Type="http://schemas.openxmlformats.org/officeDocument/2006/relationships/externalLinkPath" Target="PD%20032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hkdsfnp01\IAC_SWH$\Users\ngraykh\AppData\Local\Microsoft\Windows\Temporary%20Internet%20Files\Content.Outlook\Q4WU0BOD\JP%20Morgan%20bar%20list%20(3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HSINFPS01\Share\Operations\LEEKLB\RELEASES\Bangkok-AL-Invoice%20For%20Gold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4srv\&#24037;&#22580;&#21934;&#34920;\2006-09\2006-01\2005-11\form-jm\_form%20-%20j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ense Input"/>
      <sheetName val="V LookUp"/>
      <sheetName val="Depreciation"/>
      <sheetName val="Multipayment"/>
      <sheetName val="FA (wo GST)"/>
      <sheetName val="FA (GST)"/>
      <sheetName val="Expenses (wo GST)"/>
      <sheetName val="Payroll"/>
      <sheetName val="Expenses (GST) (2)"/>
      <sheetName val="Accrual Svcs Fee"/>
      <sheetName val="SP Service"/>
      <sheetName val="SingTel"/>
      <sheetName val="HongLeong"/>
      <sheetName val="VM TF"/>
      <sheetName val="JP Morgan"/>
      <sheetName val="ME"/>
      <sheetName val="MKSG"/>
      <sheetName val="TF"/>
      <sheetName val="Interest"/>
      <sheetName val="Template (By Number)"/>
      <sheetName val="Kilo Bars"/>
      <sheetName val="Listing"/>
      <sheetName val="Sheet2"/>
      <sheetName val="Expense_Input"/>
      <sheetName val="V_LookUp"/>
      <sheetName val="FA_(wo_GST)"/>
      <sheetName val="FA_(GST)"/>
      <sheetName val="Expenses_(wo_GST)"/>
      <sheetName val="Expenses_(GST)_(2)"/>
      <sheetName val="Accrual_Svcs_Fee"/>
      <sheetName val="SP_Service"/>
      <sheetName val="VM_TF"/>
      <sheetName val="JP_Morgan"/>
      <sheetName val="Template_(By_Number)"/>
      <sheetName val="Kilo_Bars"/>
      <sheetName val="Expense_Input1"/>
      <sheetName val="V_LookUp1"/>
      <sheetName val="FA_(wo_GST)1"/>
      <sheetName val="FA_(GST)1"/>
      <sheetName val="Expenses_(wo_GST)1"/>
      <sheetName val="Expenses_(GST)_(2)1"/>
      <sheetName val="Accrual_Svcs_Fee1"/>
      <sheetName val="SP_Service1"/>
      <sheetName val="VM_TF1"/>
      <sheetName val="JP_Morgan1"/>
      <sheetName val="Template_(By_Number)1"/>
      <sheetName val="Kilo_Bars1"/>
      <sheetName val="Expense_Input2"/>
      <sheetName val="V_LookUp2"/>
      <sheetName val="FA_(wo_GST)2"/>
      <sheetName val="FA_(GST)2"/>
      <sheetName val="Expenses_(wo_GST)2"/>
      <sheetName val="Expenses_(GST)_(2)2"/>
      <sheetName val="Accrual_Svcs_Fee2"/>
      <sheetName val="SP_Service2"/>
      <sheetName val="VM_TF2"/>
      <sheetName val="JP_Morgan2"/>
      <sheetName val="Template_(By_Number)2"/>
      <sheetName val="Kilo_Bars2"/>
      <sheetName val="Expense_Input3"/>
      <sheetName val="V_LookUp3"/>
      <sheetName val="FA_(wo_GST)3"/>
      <sheetName val="FA_(GST)3"/>
      <sheetName val="Expenses_(wo_GST)3"/>
      <sheetName val="Expenses_(GST)_(2)3"/>
      <sheetName val="Accrual_Svcs_Fee3"/>
      <sheetName val="SP_Service3"/>
      <sheetName val="VM_TF3"/>
      <sheetName val="JP_Morgan3"/>
      <sheetName val="Template_(By_Number)3"/>
      <sheetName val="Kilo_Bars3"/>
    </sheetNames>
    <sheetDataSet>
      <sheetData sheetId="0">
        <row r="30">
          <cell r="K30" t="str">
            <v>UOB SGD a/c</v>
          </cell>
          <cell r="L30" t="str">
            <v>050001</v>
          </cell>
        </row>
        <row r="31">
          <cell r="K31" t="str">
            <v>JP Morgan</v>
          </cell>
          <cell r="L31" t="str">
            <v>050002</v>
          </cell>
        </row>
        <row r="32">
          <cell r="K32" t="str">
            <v>Scotia Mocatta</v>
          </cell>
          <cell r="L32" t="str">
            <v>050003</v>
          </cell>
        </row>
        <row r="33">
          <cell r="K33" t="str">
            <v>HSBC</v>
          </cell>
          <cell r="L33" t="str">
            <v>050004</v>
          </cell>
        </row>
        <row r="34">
          <cell r="K34" t="str">
            <v>MKSG</v>
          </cell>
          <cell r="L34" t="str">
            <v>008888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30">
          <cell r="K30" t="str">
            <v>UOB SGD a/c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30">
          <cell r="K30" t="str">
            <v>UOB SGD a/c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>
        <row r="30">
          <cell r="K30" t="str">
            <v>UOB SGD a/c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>
        <row r="30">
          <cell r="K30" t="str">
            <v>UOB SGD a/c</v>
          </cell>
        </row>
      </sheetData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기본사항"/>
      <sheetName val="8(갑)"/>
      <sheetName val="8(을)"/>
      <sheetName val="8(병)"/>
      <sheetName val="요약손익계산서"/>
      <sheetName val="3"/>
      <sheetName val="1의3"/>
      <sheetName val="1의3 (2)"/>
      <sheetName val="1의3 (3)"/>
      <sheetName val="1"/>
      <sheetName val="1 (2)"/>
      <sheetName val="1 (3)"/>
      <sheetName val="1의2"/>
      <sheetName val="1의2 (2)"/>
      <sheetName val="1의2 (3)"/>
      <sheetName val="2"/>
      <sheetName val="5"/>
      <sheetName val="10의2(갑)"/>
      <sheetName val="10의2(을)"/>
      <sheetName val="10의2(병)"/>
      <sheetName val="10의2(정)"/>
      <sheetName val="10의3"/>
      <sheetName val="10의8"/>
      <sheetName val="10의9"/>
      <sheetName val="6의2"/>
      <sheetName val="본점경비배분"/>
      <sheetName val="81"/>
      <sheetName val="82"/>
      <sheetName val="83"/>
      <sheetName val="1의3_(2)"/>
      <sheetName val="1의3_(3)"/>
      <sheetName val="1_(2)"/>
      <sheetName val="1_(3)"/>
      <sheetName val="1의2_(2)"/>
      <sheetName val="1의2_(3)"/>
      <sheetName val="1의3_(2)1"/>
      <sheetName val="1의3_(3)1"/>
      <sheetName val="1_(2)1"/>
      <sheetName val="1_(3)1"/>
      <sheetName val="1의2_(2)1"/>
      <sheetName val="1의2_(3)1"/>
      <sheetName val="1의3_(2)2"/>
      <sheetName val="1의3_(3)2"/>
      <sheetName val="1_(2)2"/>
      <sheetName val="1_(3)2"/>
      <sheetName val="1의2_(2)2"/>
      <sheetName val="1의2_(3)2"/>
      <sheetName val="1의3_(2)3"/>
      <sheetName val="1의3_(3)3"/>
      <sheetName val="1_(2)3"/>
      <sheetName val="1_(3)3"/>
      <sheetName val="1의2_(2)3"/>
      <sheetName val="1의2_(3)3"/>
    </sheetNames>
    <sheetDataSet>
      <sheetData sheetId="0" refreshError="1">
        <row r="2">
          <cell r="A2" t="str">
            <v>000 기타</v>
          </cell>
          <cell r="B2" t="str">
            <v>AF 아프카니스탄</v>
          </cell>
          <cell r="C2" t="str">
            <v>AFA 아프카니스탄</v>
          </cell>
        </row>
        <row r="3">
          <cell r="A3" t="str">
            <v>004 아프가니스탄</v>
          </cell>
          <cell r="B3" t="str">
            <v>DZ 알제리</v>
          </cell>
          <cell r="C3" t="str">
            <v>DZD 알제리</v>
          </cell>
        </row>
        <row r="4">
          <cell r="A4" t="str">
            <v>008 알바니아</v>
          </cell>
          <cell r="B4" t="str">
            <v>AD 안도라</v>
          </cell>
          <cell r="C4" t="str">
            <v>ADP 안도라</v>
          </cell>
        </row>
        <row r="5">
          <cell r="A5" t="str">
            <v>010 남극지역</v>
          </cell>
          <cell r="B5" t="str">
            <v>AQ 안타티카</v>
          </cell>
          <cell r="C5" t="str">
            <v>NOK 안타티카</v>
          </cell>
        </row>
        <row r="6">
          <cell r="A6" t="str">
            <v>012 알제리</v>
          </cell>
          <cell r="B6" t="str">
            <v>AR 아르헨티나</v>
          </cell>
          <cell r="C6" t="str">
            <v>ARS 아르헨티나</v>
          </cell>
        </row>
        <row r="7">
          <cell r="A7" t="str">
            <v>016 미국령사모아</v>
          </cell>
          <cell r="B7" t="str">
            <v>AU 호주</v>
          </cell>
          <cell r="C7" t="str">
            <v>AUD 호주</v>
          </cell>
        </row>
        <row r="8">
          <cell r="A8" t="str">
            <v>020 안도라</v>
          </cell>
          <cell r="B8" t="str">
            <v>AZ 아제르바이잔</v>
          </cell>
          <cell r="C8" t="str">
            <v>AZM 아제르바이잔</v>
          </cell>
        </row>
        <row r="9">
          <cell r="A9" t="str">
            <v>024 앙골라</v>
          </cell>
          <cell r="B9" t="str">
            <v>BH 바레인</v>
          </cell>
          <cell r="C9" t="str">
            <v>BHD 바레인</v>
          </cell>
        </row>
        <row r="10">
          <cell r="A10" t="str">
            <v>028 안티가바부다</v>
          </cell>
          <cell r="B10" t="str">
            <v>BB 바베이도스</v>
          </cell>
          <cell r="C10" t="str">
            <v>BBD 바베이도스</v>
          </cell>
        </row>
        <row r="11">
          <cell r="A11" t="str">
            <v>032 아르헨티나</v>
          </cell>
          <cell r="B11" t="str">
            <v>BY 베라루스</v>
          </cell>
          <cell r="C11" t="str">
            <v>BYB 베라루스</v>
          </cell>
        </row>
        <row r="12">
          <cell r="A12" t="str">
            <v>036 호주</v>
          </cell>
          <cell r="B12" t="str">
            <v>BZ 벨리제</v>
          </cell>
          <cell r="C12" t="str">
            <v>BZD 벨리제</v>
          </cell>
        </row>
        <row r="13">
          <cell r="A13" t="str">
            <v>040 오스트리아</v>
          </cell>
          <cell r="B13" t="str">
            <v>BM 버뮤다</v>
          </cell>
          <cell r="C13" t="str">
            <v>BMD 버뮤다</v>
          </cell>
        </row>
        <row r="14">
          <cell r="A14" t="str">
            <v>044 바하마</v>
          </cell>
          <cell r="B14" t="str">
            <v>BO 볼리비아</v>
          </cell>
          <cell r="C14" t="str">
            <v>BOB 볼리비아</v>
          </cell>
        </row>
        <row r="15">
          <cell r="A15" t="str">
            <v>048 바레인</v>
          </cell>
          <cell r="B15" t="str">
            <v>BW 보츠와나</v>
          </cell>
          <cell r="C15" t="str">
            <v>BWP 보츠와나</v>
          </cell>
        </row>
        <row r="16">
          <cell r="A16" t="str">
            <v>050 방글라데시</v>
          </cell>
          <cell r="B16" t="str">
            <v>BR 브라질</v>
          </cell>
          <cell r="C16" t="str">
            <v>BRL 브라질</v>
          </cell>
        </row>
        <row r="17">
          <cell r="A17" t="str">
            <v>052 바베이도스</v>
          </cell>
          <cell r="B17" t="str">
            <v>IO 영령　인도양</v>
          </cell>
          <cell r="C17" t="str">
            <v>MUR 영령　인도양</v>
          </cell>
        </row>
        <row r="18">
          <cell r="A18" t="str">
            <v>056 벨기에</v>
          </cell>
          <cell r="B18" t="str">
            <v>BG 불가리아</v>
          </cell>
          <cell r="C18" t="str">
            <v>BGN 불가리아</v>
          </cell>
        </row>
        <row r="19">
          <cell r="A19" t="str">
            <v>060 버뮤다제도</v>
          </cell>
          <cell r="B19" t="str">
            <v>BI 부룬디</v>
          </cell>
          <cell r="C19" t="str">
            <v>BIF 부룬디</v>
          </cell>
        </row>
        <row r="20">
          <cell r="A20" t="str">
            <v>064 부탄</v>
          </cell>
          <cell r="B20" t="str">
            <v>CM 카메룬</v>
          </cell>
          <cell r="C20" t="str">
            <v>XAF 카메룬</v>
          </cell>
        </row>
        <row r="21">
          <cell r="A21" t="str">
            <v>068 볼리비아</v>
          </cell>
          <cell r="B21" t="str">
            <v>CT 캔톤　아일랜드</v>
          </cell>
          <cell r="C21" t="str">
            <v>GBP 캔톤　아일랜드</v>
          </cell>
        </row>
        <row r="22">
          <cell r="A22" t="str">
            <v>072 보츠와나</v>
          </cell>
          <cell r="B22" t="str">
            <v>KY 영령　캐이만　군도</v>
          </cell>
          <cell r="C22" t="str">
            <v>KYD 영령　캐이만　군도</v>
          </cell>
        </row>
        <row r="23">
          <cell r="A23" t="str">
            <v>074 볼벳도</v>
          </cell>
          <cell r="B23" t="str">
            <v>TD 챠드</v>
          </cell>
          <cell r="C23" t="str">
            <v>XAF 챠드</v>
          </cell>
        </row>
        <row r="24">
          <cell r="A24" t="str">
            <v>076 브라질</v>
          </cell>
          <cell r="B24" t="str">
            <v>CN 중국</v>
          </cell>
          <cell r="C24" t="str">
            <v>CNY 중국</v>
          </cell>
        </row>
        <row r="25">
          <cell r="A25" t="str">
            <v>084 벨리즈</v>
          </cell>
          <cell r="B25" t="str">
            <v>CX 크리스마스　아일랜드</v>
          </cell>
          <cell r="C25" t="str">
            <v>AUD 크리스마스　아일랜드</v>
          </cell>
        </row>
        <row r="26">
          <cell r="A26" t="str">
            <v>086 영국령인도양지역</v>
          </cell>
          <cell r="B26" t="str">
            <v>CO 콜롬비아</v>
          </cell>
          <cell r="C26" t="str">
            <v>COP 콜롬비아</v>
          </cell>
        </row>
        <row r="27">
          <cell r="A27" t="str">
            <v>090 솔로몬아일란드</v>
          </cell>
          <cell r="B27" t="str">
            <v>CG 콩고</v>
          </cell>
          <cell r="C27" t="str">
            <v>XAF 콩고</v>
          </cell>
        </row>
        <row r="28">
          <cell r="A28" t="str">
            <v>092 영국령버진제도</v>
          </cell>
          <cell r="B28" t="str">
            <v>CR 코스타리카</v>
          </cell>
          <cell r="C28" t="str">
            <v>CRC 코스타리카</v>
          </cell>
        </row>
        <row r="29">
          <cell r="A29" t="str">
            <v>096 브르나이</v>
          </cell>
          <cell r="B29" t="str">
            <v>CU 쿠바</v>
          </cell>
          <cell r="C29" t="str">
            <v>CUP 쿠바</v>
          </cell>
        </row>
        <row r="30">
          <cell r="A30" t="str">
            <v>100 불가리아</v>
          </cell>
          <cell r="B30" t="str">
            <v>CZ 체코공화국</v>
          </cell>
          <cell r="C30" t="str">
            <v>CZK 체코공화국</v>
          </cell>
        </row>
        <row r="31">
          <cell r="A31" t="str">
            <v>104 미얀마</v>
          </cell>
          <cell r="B31" t="str">
            <v>DJ 지부티</v>
          </cell>
          <cell r="C31" t="str">
            <v>DJF 지부티</v>
          </cell>
        </row>
        <row r="32">
          <cell r="A32" t="str">
            <v>108 부룬디</v>
          </cell>
          <cell r="B32" t="str">
            <v>DO 도미니카공화국</v>
          </cell>
          <cell r="C32" t="str">
            <v>DOP 도미니카공화국</v>
          </cell>
        </row>
        <row r="33">
          <cell r="A33" t="str">
            <v>112 벨라루스</v>
          </cell>
          <cell r="B33" t="str">
            <v>TP 티모르</v>
          </cell>
          <cell r="C33" t="str">
            <v>IDR 티모르</v>
          </cell>
        </row>
        <row r="34">
          <cell r="A34" t="str">
            <v>116 캄푸치아</v>
          </cell>
          <cell r="B34" t="str">
            <v>EG 이집트</v>
          </cell>
          <cell r="C34" t="str">
            <v>EGP 이집트</v>
          </cell>
        </row>
        <row r="35">
          <cell r="A35" t="str">
            <v>120 카메룬</v>
          </cell>
          <cell r="B35" t="str">
            <v>GQ 적도　기니</v>
          </cell>
          <cell r="C35" t="str">
            <v>XAF 적도　기니</v>
          </cell>
        </row>
        <row r="36">
          <cell r="A36" t="str">
            <v>124 캐나다</v>
          </cell>
          <cell r="B36" t="str">
            <v>EE 에스토니아</v>
          </cell>
          <cell r="C36" t="str">
            <v>EEK 에스토니아</v>
          </cell>
        </row>
        <row r="37">
          <cell r="A37" t="str">
            <v>128 키리바티</v>
          </cell>
          <cell r="B37" t="str">
            <v>FO 파로에　군도</v>
          </cell>
          <cell r="C37" t="str">
            <v>DKK 파로에　군도</v>
          </cell>
        </row>
        <row r="38">
          <cell r="A38" t="str">
            <v>132 카보베르데</v>
          </cell>
          <cell r="B38" t="str">
            <v>FJ 피지</v>
          </cell>
          <cell r="C38" t="str">
            <v>FJD 피지</v>
          </cell>
        </row>
        <row r="39">
          <cell r="A39" t="str">
            <v>136 케이만제도</v>
          </cell>
          <cell r="B39" t="str">
            <v>FR 프랑스</v>
          </cell>
          <cell r="C39" t="str">
            <v>FRF 프랑스</v>
          </cell>
        </row>
        <row r="40">
          <cell r="A40" t="str">
            <v>140 중앙아프리카</v>
          </cell>
          <cell r="B40" t="str">
            <v>PF 불령　폴리네시아</v>
          </cell>
          <cell r="C40" t="str">
            <v>CFP 불령　폴리네시아</v>
          </cell>
        </row>
        <row r="41">
          <cell r="A41" t="str">
            <v>144 스리랑카</v>
          </cell>
          <cell r="B41" t="str">
            <v>GA 가봉</v>
          </cell>
          <cell r="C41" t="str">
            <v>XAF 가봉</v>
          </cell>
        </row>
        <row r="42">
          <cell r="A42" t="str">
            <v>148 차드</v>
          </cell>
          <cell r="B42" t="str">
            <v>GE 그루지야</v>
          </cell>
          <cell r="C42" t="str">
            <v>GEL 그루지야</v>
          </cell>
        </row>
        <row r="43">
          <cell r="A43" t="str">
            <v>152 칠레</v>
          </cell>
          <cell r="B43" t="str">
            <v>GH 가나</v>
          </cell>
          <cell r="C43" t="str">
            <v>GHC 가나</v>
          </cell>
        </row>
        <row r="44">
          <cell r="A44" t="str">
            <v>156 중국</v>
          </cell>
          <cell r="B44" t="str">
            <v>GR 그리스</v>
          </cell>
          <cell r="C44" t="str">
            <v>GRD 그리스</v>
          </cell>
        </row>
        <row r="45">
          <cell r="A45" t="str">
            <v>158 대만</v>
          </cell>
          <cell r="B45" t="str">
            <v>GD 그레나다</v>
          </cell>
          <cell r="C45" t="str">
            <v>XCD 그레나다</v>
          </cell>
        </row>
        <row r="46">
          <cell r="A46" t="str">
            <v>162 크리스마스</v>
          </cell>
          <cell r="B46" t="str">
            <v>GU 괌</v>
          </cell>
          <cell r="C46" t="str">
            <v>USD 괌</v>
          </cell>
        </row>
        <row r="47">
          <cell r="A47" t="str">
            <v>166 코코스제도</v>
          </cell>
          <cell r="B47" t="str">
            <v>GN 기니</v>
          </cell>
          <cell r="C47" t="str">
            <v>GNF 기니</v>
          </cell>
        </row>
        <row r="48">
          <cell r="A48" t="str">
            <v>170 콜롬비아</v>
          </cell>
          <cell r="B48" t="str">
            <v>GY 가이아나</v>
          </cell>
          <cell r="C48" t="str">
            <v>GYD 가이아나</v>
          </cell>
        </row>
        <row r="49">
          <cell r="A49" t="str">
            <v>174 코모르</v>
          </cell>
          <cell r="B49" t="str">
            <v>HM 허드　앤　맥도날드　군도</v>
          </cell>
          <cell r="C49" t="str">
            <v>AUD 허드　앤　맥도날드　군도</v>
          </cell>
        </row>
        <row r="50">
          <cell r="A50" t="str">
            <v>178 콩고</v>
          </cell>
          <cell r="B50" t="str">
            <v>HK 홍콩</v>
          </cell>
          <cell r="C50" t="str">
            <v>HKD 홍콩</v>
          </cell>
        </row>
        <row r="51">
          <cell r="A51" t="str">
            <v>180 자이르</v>
          </cell>
          <cell r="B51" t="str">
            <v>IS 아이슬란드</v>
          </cell>
        </row>
        <row r="52">
          <cell r="A52" t="str">
            <v>184 쿠크제도</v>
          </cell>
          <cell r="B52" t="str">
            <v>ID 인도네시아</v>
          </cell>
        </row>
        <row r="53">
          <cell r="A53" t="str">
            <v>188 코스타리카</v>
          </cell>
          <cell r="B53" t="str">
            <v>IQ 이라크</v>
          </cell>
        </row>
        <row r="54">
          <cell r="A54" t="str">
            <v>192 쿠바</v>
          </cell>
          <cell r="B54" t="str">
            <v>IL 이스라엘</v>
          </cell>
        </row>
        <row r="55">
          <cell r="A55" t="str">
            <v>196 사이프러스</v>
          </cell>
          <cell r="B55" t="str">
            <v>CI 코트디　봐르</v>
          </cell>
        </row>
        <row r="56">
          <cell r="A56" t="str">
            <v>200 체코공화국</v>
          </cell>
          <cell r="B56" t="str">
            <v>JP 일본</v>
          </cell>
        </row>
        <row r="57">
          <cell r="A57" t="str">
            <v>204 베냉</v>
          </cell>
          <cell r="B57" t="str">
            <v>JO 요르단</v>
          </cell>
        </row>
        <row r="58">
          <cell r="A58" t="str">
            <v>208 덴마크</v>
          </cell>
          <cell r="B58" t="str">
            <v>KE 케냐</v>
          </cell>
        </row>
        <row r="59">
          <cell r="A59" t="str">
            <v>212 도미니카연방</v>
          </cell>
          <cell r="B59" t="str">
            <v>KP 북한</v>
          </cell>
        </row>
        <row r="60">
          <cell r="A60" t="str">
            <v>214 도미니카공화국</v>
          </cell>
          <cell r="B60" t="str">
            <v>KR 한국</v>
          </cell>
        </row>
        <row r="61">
          <cell r="A61" t="str">
            <v>216 안타르티카</v>
          </cell>
          <cell r="B61" t="str">
            <v>KW 쿠웨이트</v>
          </cell>
        </row>
        <row r="62">
          <cell r="A62" t="str">
            <v>218 에콰도르</v>
          </cell>
          <cell r="B62" t="str">
            <v>AL 알바니아</v>
          </cell>
        </row>
        <row r="63">
          <cell r="A63" t="str">
            <v>222 엘살바도르</v>
          </cell>
          <cell r="B63" t="str">
            <v>AS 아메리칸　사모아</v>
          </cell>
        </row>
        <row r="64">
          <cell r="A64" t="str">
            <v>226 적도기니</v>
          </cell>
          <cell r="B64" t="str">
            <v>AO 앙골라</v>
          </cell>
        </row>
        <row r="65">
          <cell r="A65" t="str">
            <v>230 이디오피아</v>
          </cell>
          <cell r="B65" t="str">
            <v>AG 안티가　바부다</v>
          </cell>
        </row>
        <row r="66">
          <cell r="A66" t="str">
            <v>234 파로에제도</v>
          </cell>
          <cell r="B66" t="str">
            <v>AM 아르메니아</v>
          </cell>
        </row>
        <row r="67">
          <cell r="A67" t="str">
            <v>238 포클랜드</v>
          </cell>
          <cell r="B67" t="str">
            <v>AT 오스트리아</v>
          </cell>
        </row>
        <row r="68">
          <cell r="A68" t="str">
            <v>242 피지</v>
          </cell>
          <cell r="B68" t="str">
            <v>BS 바하마</v>
          </cell>
        </row>
        <row r="69">
          <cell r="A69" t="str">
            <v>246 핀란드</v>
          </cell>
          <cell r="B69" t="str">
            <v>BD 방글라데시</v>
          </cell>
        </row>
        <row r="70">
          <cell r="A70" t="str">
            <v>250 프랑스</v>
          </cell>
          <cell r="B70" t="str">
            <v>BY 베라루스</v>
          </cell>
        </row>
        <row r="71">
          <cell r="A71" t="str">
            <v>254 불란서령기아나</v>
          </cell>
          <cell r="B71" t="str">
            <v>BE 벨기에</v>
          </cell>
        </row>
        <row r="72">
          <cell r="A72" t="str">
            <v>258 프랑스령폴리네시아</v>
          </cell>
          <cell r="B72" t="str">
            <v>BJ 베닝</v>
          </cell>
        </row>
        <row r="73">
          <cell r="A73" t="str">
            <v>262 지부티</v>
          </cell>
          <cell r="B73" t="str">
            <v>BT 부탄</v>
          </cell>
        </row>
        <row r="74">
          <cell r="A74" t="str">
            <v>266 가봉</v>
          </cell>
          <cell r="B74" t="str">
            <v>BA 보스니아－헤르체고비나</v>
          </cell>
        </row>
        <row r="75">
          <cell r="A75" t="str">
            <v>270 감비아</v>
          </cell>
          <cell r="B75" t="str">
            <v>BV 보빗　군도</v>
          </cell>
        </row>
        <row r="76">
          <cell r="A76" t="str">
            <v>278 동독（폐지）</v>
          </cell>
          <cell r="B76" t="str">
            <v>BQ 영령　안탁</v>
          </cell>
        </row>
        <row r="77">
          <cell r="A77" t="str">
            <v>280 독일</v>
          </cell>
          <cell r="B77" t="str">
            <v>BN 브루나이</v>
          </cell>
        </row>
        <row r="78">
          <cell r="A78" t="str">
            <v>288 가나</v>
          </cell>
          <cell r="B78" t="str">
            <v>BF 부르키나　파소</v>
          </cell>
        </row>
        <row r="79">
          <cell r="A79" t="str">
            <v>292 지브랄타</v>
          </cell>
          <cell r="B79" t="str">
            <v>KH 캄보디아</v>
          </cell>
        </row>
        <row r="80">
          <cell r="A80" t="str">
            <v>296 키리바시</v>
          </cell>
          <cell r="B80" t="str">
            <v>CA 카나다</v>
          </cell>
        </row>
        <row r="81">
          <cell r="A81" t="str">
            <v>300 그리스</v>
          </cell>
          <cell r="B81" t="str">
            <v>CV 카보　베르데</v>
          </cell>
        </row>
        <row r="82">
          <cell r="A82" t="str">
            <v>304 그린랜드</v>
          </cell>
          <cell r="B82" t="str">
            <v>CF 중앙아프리카</v>
          </cell>
        </row>
        <row r="83">
          <cell r="A83" t="str">
            <v>308 그레나다</v>
          </cell>
          <cell r="B83" t="str">
            <v>CL 칠레</v>
          </cell>
        </row>
        <row r="84">
          <cell r="A84" t="str">
            <v>312 과델로페</v>
          </cell>
          <cell r="B84" t="str">
            <v>TW 대만</v>
          </cell>
        </row>
        <row r="85">
          <cell r="A85" t="str">
            <v>316 괌</v>
          </cell>
          <cell r="B85" t="str">
            <v>CC 코코스　군도</v>
          </cell>
        </row>
        <row r="86">
          <cell r="A86" t="str">
            <v>320 과테말라</v>
          </cell>
          <cell r="B86" t="str">
            <v>KM 코모로스</v>
          </cell>
        </row>
        <row r="87">
          <cell r="A87" t="str">
            <v>324 기니</v>
          </cell>
          <cell r="B87" t="str">
            <v>CK 쿡　아일랜드</v>
          </cell>
        </row>
        <row r="88">
          <cell r="A88" t="str">
            <v>328 가이아나</v>
          </cell>
          <cell r="B88" t="str">
            <v>HR 크로아티아</v>
          </cell>
        </row>
        <row r="89">
          <cell r="A89" t="str">
            <v>332 아이티</v>
          </cell>
          <cell r="B89" t="str">
            <v>CY 사이프러스</v>
          </cell>
        </row>
        <row r="90">
          <cell r="A90" t="str">
            <v>334 헤어드도멕도널드도</v>
          </cell>
          <cell r="B90" t="str">
            <v>DK 덴마크</v>
          </cell>
        </row>
        <row r="91">
          <cell r="A91" t="str">
            <v>336 바티칸</v>
          </cell>
          <cell r="B91" t="str">
            <v>DM 도미니카연방</v>
          </cell>
        </row>
        <row r="92">
          <cell r="A92" t="str">
            <v>340 온두라스</v>
          </cell>
          <cell r="B92" t="str">
            <v>TP 티모르</v>
          </cell>
        </row>
        <row r="93">
          <cell r="A93" t="str">
            <v>344 홍콩</v>
          </cell>
          <cell r="B93" t="str">
            <v>EC 에쿠아도르</v>
          </cell>
        </row>
        <row r="94">
          <cell r="A94" t="str">
            <v>348 헝가리</v>
          </cell>
          <cell r="B94" t="str">
            <v>SV 엘살바도르</v>
          </cell>
        </row>
        <row r="95">
          <cell r="A95" t="str">
            <v>352 아이슬란드</v>
          </cell>
          <cell r="B95" t="str">
            <v>ER 에리트리아</v>
          </cell>
        </row>
        <row r="96">
          <cell r="A96" t="str">
            <v>356 인도</v>
          </cell>
          <cell r="B96" t="str">
            <v>ET 이디오피아</v>
          </cell>
        </row>
        <row r="97">
          <cell r="A97" t="str">
            <v>360 인도네시아</v>
          </cell>
          <cell r="B97" t="str">
            <v>FK 포클랜드　군도</v>
          </cell>
        </row>
        <row r="98">
          <cell r="A98" t="str">
            <v>364 이란</v>
          </cell>
          <cell r="B98" t="str">
            <v>FI 핀란드</v>
          </cell>
        </row>
        <row r="99">
          <cell r="A99" t="str">
            <v>368 이라크</v>
          </cell>
          <cell r="B99" t="str">
            <v>GF 불령　가이아나</v>
          </cell>
        </row>
        <row r="100">
          <cell r="A100" t="str">
            <v>372 아일랜드</v>
          </cell>
          <cell r="B100" t="str">
            <v>TF 불령　남부지역</v>
          </cell>
        </row>
        <row r="101">
          <cell r="A101" t="str">
            <v>376 이스라엘</v>
          </cell>
          <cell r="B101" t="str">
            <v>GM 감비아</v>
          </cell>
        </row>
        <row r="102">
          <cell r="A102" t="str">
            <v>380 이탈리아</v>
          </cell>
          <cell r="B102" t="str">
            <v>DE 독일</v>
          </cell>
        </row>
        <row r="103">
          <cell r="A103" t="str">
            <v>384 코르디봐르</v>
          </cell>
          <cell r="B103" t="str">
            <v>GI 지브랄타</v>
          </cell>
        </row>
        <row r="104">
          <cell r="A104" t="str">
            <v>388 자메이카</v>
          </cell>
          <cell r="B104" t="str">
            <v>GL 그린랜드</v>
          </cell>
        </row>
        <row r="105">
          <cell r="A105" t="str">
            <v>392 일본</v>
          </cell>
          <cell r="B105" t="str">
            <v>GP 과델로프</v>
          </cell>
        </row>
        <row r="106">
          <cell r="A106" t="str">
            <v>396 존스톤도（폐지）</v>
          </cell>
          <cell r="B106" t="str">
            <v>GT 과테말라</v>
          </cell>
        </row>
        <row r="107">
          <cell r="A107" t="str">
            <v>400 요르단</v>
          </cell>
          <cell r="B107" t="str">
            <v>GW 기네비소</v>
          </cell>
        </row>
        <row r="108">
          <cell r="A108" t="str">
            <v>404 케냐</v>
          </cell>
          <cell r="B108" t="str">
            <v>HT 아이티</v>
          </cell>
        </row>
        <row r="109">
          <cell r="A109" t="str">
            <v>408 북한</v>
          </cell>
          <cell r="B109" t="str">
            <v>HN 온두라스</v>
          </cell>
        </row>
        <row r="110">
          <cell r="A110" t="str">
            <v>410 대한민국</v>
          </cell>
          <cell r="B110" t="str">
            <v>HU 헝가리</v>
          </cell>
        </row>
        <row r="111">
          <cell r="A111" t="str">
            <v>414 쿠웨이트</v>
          </cell>
          <cell r="B111" t="str">
            <v>IN 인디아</v>
          </cell>
        </row>
        <row r="112">
          <cell r="A112" t="str">
            <v>418 라오스</v>
          </cell>
          <cell r="B112" t="str">
            <v>IR 이란</v>
          </cell>
        </row>
        <row r="113">
          <cell r="A113" t="str">
            <v>422 레바논</v>
          </cell>
          <cell r="B113" t="str">
            <v>IE 아일랜드</v>
          </cell>
        </row>
        <row r="114">
          <cell r="A114" t="str">
            <v>426 레소토</v>
          </cell>
          <cell r="B114" t="str">
            <v>IT 이탈리아</v>
          </cell>
        </row>
        <row r="115">
          <cell r="A115" t="str">
            <v>430 라이베리아</v>
          </cell>
          <cell r="B115" t="str">
            <v>JM 자마이카</v>
          </cell>
        </row>
        <row r="116">
          <cell r="A116" t="str">
            <v>434 리비아</v>
          </cell>
          <cell r="B116" t="str">
            <v>JT 죤스톤　아일랜드</v>
          </cell>
        </row>
        <row r="117">
          <cell r="A117" t="str">
            <v>438 리히텐스타인</v>
          </cell>
          <cell r="B117" t="str">
            <v>KZ 카자흐</v>
          </cell>
        </row>
        <row r="118">
          <cell r="A118" t="str">
            <v>442 룩셈부르크</v>
          </cell>
          <cell r="B118" t="str">
            <v>KI 키리바티</v>
          </cell>
        </row>
        <row r="119">
          <cell r="A119" t="str">
            <v>446 마카오</v>
          </cell>
          <cell r="B119" t="str">
            <v>KG 키르기스</v>
          </cell>
        </row>
        <row r="120">
          <cell r="A120" t="str">
            <v>450 마다가스카르</v>
          </cell>
          <cell r="B120" t="str">
            <v>LA 라오스</v>
          </cell>
        </row>
        <row r="121">
          <cell r="A121" t="str">
            <v>454 말라위</v>
          </cell>
          <cell r="B121" t="str">
            <v>LV 라트비아</v>
          </cell>
        </row>
        <row r="122">
          <cell r="A122" t="str">
            <v>458 말레이시아</v>
          </cell>
          <cell r="B122" t="str">
            <v>LB 레바논</v>
          </cell>
        </row>
        <row r="123">
          <cell r="A123" t="str">
            <v>462 몰디브</v>
          </cell>
          <cell r="B123" t="str">
            <v>LS 레소토</v>
          </cell>
        </row>
        <row r="124">
          <cell r="A124" t="str">
            <v>466 말리</v>
          </cell>
          <cell r="B124" t="str">
            <v>LR 라이베리아</v>
          </cell>
        </row>
        <row r="125">
          <cell r="A125" t="str">
            <v>470 몰타</v>
          </cell>
          <cell r="B125" t="str">
            <v>LY 리비아</v>
          </cell>
        </row>
        <row r="126">
          <cell r="A126" t="str">
            <v>474 마티니크도</v>
          </cell>
          <cell r="B126" t="str">
            <v>LI 리히텐슈타인</v>
          </cell>
        </row>
        <row r="127">
          <cell r="A127" t="str">
            <v>478 모리타니</v>
          </cell>
          <cell r="B127" t="str">
            <v>LT 리투아니아</v>
          </cell>
        </row>
        <row r="128">
          <cell r="A128" t="str">
            <v>480 모리셔스</v>
          </cell>
          <cell r="B128" t="str">
            <v>LU 룩셈부르크</v>
          </cell>
        </row>
        <row r="129">
          <cell r="A129" t="str">
            <v>484 멕시코</v>
          </cell>
          <cell r="B129" t="str">
            <v>MO 마카오</v>
          </cell>
        </row>
        <row r="130">
          <cell r="A130" t="str">
            <v>488 미드웨이제도（폐지）</v>
          </cell>
          <cell r="B130" t="str">
            <v>YM 마세도니아</v>
          </cell>
        </row>
        <row r="131">
          <cell r="A131" t="str">
            <v>492 모나코</v>
          </cell>
          <cell r="B131" t="str">
            <v>MG 마다가스카르</v>
          </cell>
        </row>
        <row r="132">
          <cell r="A132" t="str">
            <v>496 몽고</v>
          </cell>
          <cell r="B132" t="str">
            <v>MW 말라위</v>
          </cell>
        </row>
        <row r="133">
          <cell r="A133" t="str">
            <v>500 몬트세라트</v>
          </cell>
          <cell r="B133" t="str">
            <v>MY 말레이지아</v>
          </cell>
        </row>
        <row r="134">
          <cell r="A134" t="str">
            <v>504 모로코</v>
          </cell>
          <cell r="B134" t="str">
            <v>MV 몰디브</v>
          </cell>
        </row>
        <row r="135">
          <cell r="A135" t="str">
            <v>508 모잠비크</v>
          </cell>
          <cell r="B135" t="str">
            <v>ML 말리</v>
          </cell>
        </row>
        <row r="136">
          <cell r="A136" t="str">
            <v>512 오만</v>
          </cell>
          <cell r="B136" t="str">
            <v>MT 몰타</v>
          </cell>
        </row>
        <row r="137">
          <cell r="A137" t="str">
            <v>516 나미비아</v>
          </cell>
          <cell r="B137" t="str">
            <v>MH 마샬　군도</v>
          </cell>
        </row>
        <row r="138">
          <cell r="A138" t="str">
            <v>520 나우루</v>
          </cell>
          <cell r="B138" t="str">
            <v>MQ 마티니크</v>
          </cell>
        </row>
        <row r="139">
          <cell r="A139" t="str">
            <v>524 네팔</v>
          </cell>
          <cell r="B139" t="str">
            <v>MR 모리타니</v>
          </cell>
        </row>
        <row r="140">
          <cell r="A140" t="str">
            <v>528 네덜란드</v>
          </cell>
          <cell r="B140" t="str">
            <v>MU 모리셔스</v>
          </cell>
        </row>
        <row r="141">
          <cell r="A141" t="str">
            <v>532 안틸레스</v>
          </cell>
          <cell r="B141" t="str">
            <v>MX 멕시코</v>
          </cell>
        </row>
        <row r="142">
          <cell r="A142" t="str">
            <v>536 중립지대</v>
          </cell>
          <cell r="B142" t="str">
            <v>FM 마이크로네시아</v>
          </cell>
        </row>
        <row r="143">
          <cell r="A143" t="str">
            <v>540 뉴칼레도니아</v>
          </cell>
          <cell r="B143" t="str">
            <v>MI 미드웨이　군도</v>
          </cell>
        </row>
        <row r="144">
          <cell r="A144" t="str">
            <v>548 바누아투</v>
          </cell>
          <cell r="B144" t="str">
            <v>MD 몰도바</v>
          </cell>
        </row>
        <row r="145">
          <cell r="A145" t="str">
            <v>554 뉴질랜드</v>
          </cell>
          <cell r="B145" t="str">
            <v>MC 모나코</v>
          </cell>
        </row>
        <row r="146">
          <cell r="A146" t="str">
            <v>558 니카라과</v>
          </cell>
          <cell r="B146" t="str">
            <v>MN 몽골</v>
          </cell>
        </row>
        <row r="147">
          <cell r="A147" t="str">
            <v>562 니제르</v>
          </cell>
          <cell r="B147" t="str">
            <v>MS 몬트세라트</v>
          </cell>
        </row>
        <row r="148">
          <cell r="A148" t="str">
            <v>566 나이지리아</v>
          </cell>
          <cell r="B148" t="str">
            <v>MA 모로코</v>
          </cell>
        </row>
        <row r="149">
          <cell r="A149" t="str">
            <v>570 나우에</v>
          </cell>
          <cell r="B149" t="str">
            <v>MZ 모잠비크</v>
          </cell>
        </row>
        <row r="150">
          <cell r="A150" t="str">
            <v>574 노퍽도</v>
          </cell>
          <cell r="B150" t="str">
            <v>MM 미얀마</v>
          </cell>
        </row>
        <row r="151">
          <cell r="A151" t="str">
            <v>578 노르웨이</v>
          </cell>
          <cell r="B151" t="str">
            <v>NA 나미비아</v>
          </cell>
        </row>
        <row r="152">
          <cell r="A152" t="str">
            <v>582 마샬제도</v>
          </cell>
          <cell r="B152" t="str">
            <v>NA 나미비아</v>
          </cell>
        </row>
        <row r="153">
          <cell r="A153" t="str">
            <v>586 파키스탄</v>
          </cell>
          <cell r="B153" t="str">
            <v>NR 나우르</v>
          </cell>
        </row>
        <row r="154">
          <cell r="A154" t="str">
            <v>590 파나마</v>
          </cell>
          <cell r="B154" t="str">
            <v>NP 네팔</v>
          </cell>
        </row>
        <row r="155">
          <cell r="A155" t="str">
            <v>598 파퓨아뉴기니아</v>
          </cell>
          <cell r="B155" t="str">
            <v>NL 네덜란드</v>
          </cell>
        </row>
        <row r="156">
          <cell r="A156" t="str">
            <v>600 파라과이</v>
          </cell>
          <cell r="B156" t="str">
            <v>NT 중립지대</v>
          </cell>
        </row>
        <row r="157">
          <cell r="A157" t="str">
            <v>604 페루</v>
          </cell>
          <cell r="B157" t="str">
            <v>NC 뉴　칼레도니아</v>
          </cell>
        </row>
        <row r="158">
          <cell r="A158" t="str">
            <v>608 필리핀</v>
          </cell>
          <cell r="B158" t="str">
            <v>NZ 뉴질랜드</v>
          </cell>
        </row>
        <row r="159">
          <cell r="A159" t="str">
            <v>612 핏카인도</v>
          </cell>
          <cell r="B159" t="str">
            <v>NI 니카라과</v>
          </cell>
        </row>
        <row r="160">
          <cell r="A160" t="str">
            <v>616 폴란드</v>
          </cell>
          <cell r="B160" t="str">
            <v>NE 니제르</v>
          </cell>
        </row>
        <row r="161">
          <cell r="A161" t="str">
            <v>620 포르투칼</v>
          </cell>
          <cell r="B161" t="str">
            <v>NG 나이지리아</v>
          </cell>
        </row>
        <row r="162">
          <cell r="A162" t="str">
            <v>624 기니비사우</v>
          </cell>
          <cell r="B162" t="str">
            <v>NU 니우에</v>
          </cell>
        </row>
        <row r="163">
          <cell r="A163" t="str">
            <v>626 동티모</v>
          </cell>
          <cell r="B163" t="str">
            <v>NF 노폴크　이일랜드</v>
          </cell>
        </row>
        <row r="164">
          <cell r="A164" t="str">
            <v>630 푸에르토리코</v>
          </cell>
          <cell r="B164" t="str">
            <v>MP 북마리아나　군도</v>
          </cell>
        </row>
        <row r="165">
          <cell r="A165" t="str">
            <v>634 카타르</v>
          </cell>
          <cell r="B165" t="str">
            <v>NO 노르웨이</v>
          </cell>
        </row>
        <row r="166">
          <cell r="A166" t="str">
            <v>638 리유니온</v>
          </cell>
          <cell r="B166" t="str">
            <v>OM 오만</v>
          </cell>
        </row>
        <row r="167">
          <cell r="A167" t="str">
            <v>642 루마니아</v>
          </cell>
          <cell r="B167" t="str">
            <v>PK 파키스탄</v>
          </cell>
        </row>
        <row r="168">
          <cell r="A168" t="str">
            <v>646 르완다</v>
          </cell>
          <cell r="B168" t="str">
            <v>PW 팔라우</v>
          </cell>
        </row>
        <row r="169">
          <cell r="A169" t="str">
            <v>654 세인트헬레나도</v>
          </cell>
          <cell r="B169" t="str">
            <v>PA 파나마</v>
          </cell>
        </row>
        <row r="170">
          <cell r="A170" t="str">
            <v>658 앙길리아</v>
          </cell>
          <cell r="B170" t="str">
            <v>PZ 파나마　운하지역</v>
          </cell>
        </row>
        <row r="171">
          <cell r="A171" t="str">
            <v>662 세인트루시아</v>
          </cell>
          <cell r="B171" t="str">
            <v>PG 파푸아뉴기니</v>
          </cell>
        </row>
        <row r="172">
          <cell r="A172" t="str">
            <v>666 세인트피에러도미쾌론도</v>
          </cell>
          <cell r="B172" t="str">
            <v>PY 파라과이</v>
          </cell>
        </row>
        <row r="173">
          <cell r="A173" t="str">
            <v>670 세인트빈센트그레나딘</v>
          </cell>
          <cell r="B173" t="str">
            <v>PE 페루</v>
          </cell>
        </row>
        <row r="174">
          <cell r="A174" t="str">
            <v>674 산마리노</v>
          </cell>
          <cell r="B174" t="str">
            <v>PH 필리핀</v>
          </cell>
        </row>
        <row r="175">
          <cell r="A175" t="str">
            <v>678 상토메프린시페</v>
          </cell>
          <cell r="B175" t="str">
            <v>PN 피트카이른</v>
          </cell>
        </row>
        <row r="176">
          <cell r="A176" t="str">
            <v>682 사우디아라비아</v>
          </cell>
          <cell r="B176" t="str">
            <v>PO 팔레스타인　해방기구</v>
          </cell>
        </row>
        <row r="177">
          <cell r="A177" t="str">
            <v>686 세네갈</v>
          </cell>
          <cell r="B177" t="str">
            <v>PL 폴란드</v>
          </cell>
        </row>
        <row r="178">
          <cell r="A178" t="str">
            <v>690 세이쉘</v>
          </cell>
          <cell r="B178" t="str">
            <v>PS 사하라인민아랍공화국</v>
          </cell>
        </row>
        <row r="179">
          <cell r="A179" t="str">
            <v>694 시에라리온</v>
          </cell>
          <cell r="B179" t="str">
            <v>PT 포르투갈</v>
          </cell>
        </row>
        <row r="180">
          <cell r="A180" t="str">
            <v>702 싱가포르</v>
          </cell>
          <cell r="B180" t="str">
            <v>PR 푸에르토리코</v>
          </cell>
        </row>
        <row r="181">
          <cell r="A181" t="str">
            <v>704 베트남</v>
          </cell>
          <cell r="B181" t="str">
            <v>QA 카타르</v>
          </cell>
        </row>
        <row r="182">
          <cell r="A182" t="str">
            <v>706 소말리아</v>
          </cell>
          <cell r="B182" t="str">
            <v>RE 불령　리유니온，코모도제도</v>
          </cell>
        </row>
        <row r="183">
          <cell r="A183" t="str">
            <v>710 남아프리카</v>
          </cell>
          <cell r="B183" t="str">
            <v>RO 루마니아</v>
          </cell>
        </row>
        <row r="184">
          <cell r="A184" t="str">
            <v>716 짐바브웨</v>
          </cell>
          <cell r="B184" t="str">
            <v>RU 러시아연방</v>
          </cell>
        </row>
        <row r="185">
          <cell r="A185" t="str">
            <v>720 남예멘</v>
          </cell>
          <cell r="B185" t="str">
            <v>RW 루안다</v>
          </cell>
        </row>
        <row r="186">
          <cell r="A186" t="str">
            <v>722 토켈로</v>
          </cell>
          <cell r="B186" t="str">
            <v>WS 서사모아</v>
          </cell>
        </row>
        <row r="187">
          <cell r="A187" t="str">
            <v>724 스페인</v>
          </cell>
          <cell r="B187" t="str">
            <v>SH 세인트　헬레나</v>
          </cell>
        </row>
        <row r="188">
          <cell r="A188" t="str">
            <v>732 서사하라</v>
          </cell>
          <cell r="B188" t="str">
            <v>KN 세인트　키츠　네비스</v>
          </cell>
        </row>
        <row r="189">
          <cell r="A189" t="str">
            <v>736 수단</v>
          </cell>
          <cell r="B189" t="str">
            <v>LC 세인트　루시아</v>
          </cell>
        </row>
        <row r="190">
          <cell r="A190" t="str">
            <v>740 수리남</v>
          </cell>
          <cell r="B190" t="str">
            <v>SM 산마리노</v>
          </cell>
        </row>
        <row r="191">
          <cell r="A191" t="str">
            <v>744 스발바드잠마엔도</v>
          </cell>
          <cell r="B191" t="str">
            <v>ST 상토메　프린스페</v>
          </cell>
        </row>
        <row r="192">
          <cell r="A192" t="str">
            <v>748 스와질란드</v>
          </cell>
          <cell r="B192" t="str">
            <v>SA 사우디아라비아</v>
          </cell>
        </row>
        <row r="193">
          <cell r="A193" t="str">
            <v>752 스웨덴</v>
          </cell>
          <cell r="B193" t="str">
            <v>SN 세네갈</v>
          </cell>
        </row>
        <row r="194">
          <cell r="A194" t="str">
            <v>756 스위스</v>
          </cell>
          <cell r="B194" t="str">
            <v>SC 세이쉘</v>
          </cell>
        </row>
        <row r="195">
          <cell r="A195" t="str">
            <v>760 시리아</v>
          </cell>
          <cell r="B195" t="str">
            <v>SL 시에라　리온</v>
          </cell>
        </row>
        <row r="196">
          <cell r="A196" t="str">
            <v>764 태국</v>
          </cell>
          <cell r="B196" t="str">
            <v>SG 싱가포르</v>
          </cell>
        </row>
        <row r="197">
          <cell r="A197" t="str">
            <v>768 토고</v>
          </cell>
          <cell r="B197" t="str">
            <v>SK 슬로바키아　공화국</v>
          </cell>
        </row>
        <row r="198">
          <cell r="A198" t="str">
            <v>776 통가</v>
          </cell>
          <cell r="B198" t="str">
            <v>SI 슬로베니아</v>
          </cell>
        </row>
        <row r="199">
          <cell r="A199" t="str">
            <v>780 트리니다드토바고</v>
          </cell>
          <cell r="B199" t="str">
            <v>SB 솔로몬　군도</v>
          </cell>
        </row>
        <row r="200">
          <cell r="A200" t="str">
            <v>784 아랍에미리트연합국</v>
          </cell>
          <cell r="B200" t="str">
            <v>SO 소말리아</v>
          </cell>
        </row>
        <row r="201">
          <cell r="A201" t="str">
            <v>788 튀니지</v>
          </cell>
          <cell r="B201" t="str">
            <v>ZA 남아프리카</v>
          </cell>
        </row>
        <row r="202">
          <cell r="A202" t="str">
            <v>792 터키</v>
          </cell>
          <cell r="B202" t="str">
            <v>ES 스페인</v>
          </cell>
        </row>
        <row r="203">
          <cell r="A203" t="str">
            <v>796 터크스카이코스제도</v>
          </cell>
          <cell r="B203" t="str">
            <v>PM 세인트　피레　미켈론</v>
          </cell>
        </row>
        <row r="204">
          <cell r="A204" t="str">
            <v>798 투발루</v>
          </cell>
          <cell r="B204" t="str">
            <v>LK 스리랑카</v>
          </cell>
        </row>
        <row r="205">
          <cell r="A205" t="str">
            <v>800 우간다</v>
          </cell>
          <cell r="B205" t="str">
            <v>SD 수단</v>
          </cell>
        </row>
        <row r="206">
          <cell r="A206" t="str">
            <v>804 우크라이나</v>
          </cell>
          <cell r="B206" t="str">
            <v>SD 수단</v>
          </cell>
        </row>
        <row r="207">
          <cell r="A207" t="str">
            <v>810 러시아연합</v>
          </cell>
          <cell r="B207" t="str">
            <v>SR 수리남</v>
          </cell>
        </row>
        <row r="208">
          <cell r="A208" t="str">
            <v>818 이집트</v>
          </cell>
          <cell r="B208" t="str">
            <v>SJ 스발바드　군도</v>
          </cell>
        </row>
        <row r="209">
          <cell r="A209" t="str">
            <v>826 영국</v>
          </cell>
          <cell r="B209" t="str">
            <v>SZ 스와질랜드</v>
          </cell>
        </row>
        <row r="210">
          <cell r="A210" t="str">
            <v>834 탄자니아</v>
          </cell>
          <cell r="B210" t="str">
            <v>SE 스웨덴</v>
          </cell>
        </row>
        <row r="211">
          <cell r="A211" t="str">
            <v>840 미국</v>
          </cell>
          <cell r="B211" t="str">
            <v>CH 스위스</v>
          </cell>
        </row>
        <row r="212">
          <cell r="A212" t="str">
            <v>849 미국령태평양제도（폐지）</v>
          </cell>
          <cell r="B212" t="str">
            <v>SY 시리아</v>
          </cell>
        </row>
        <row r="213">
          <cell r="A213" t="str">
            <v>850 미국령버진제도</v>
          </cell>
          <cell r="B213" t="str">
            <v>TJ 타지크</v>
          </cell>
        </row>
        <row r="214">
          <cell r="A214" t="str">
            <v>854 오트볼타</v>
          </cell>
          <cell r="B214" t="str">
            <v>TZ 탄자니아</v>
          </cell>
        </row>
        <row r="215">
          <cell r="A215" t="str">
            <v>858 우르과이</v>
          </cell>
          <cell r="B215" t="str">
            <v>TH 태국</v>
          </cell>
        </row>
        <row r="216">
          <cell r="A216" t="str">
            <v>862 베네수엘라</v>
          </cell>
          <cell r="B216" t="str">
            <v>TG 토고</v>
          </cell>
        </row>
        <row r="217">
          <cell r="A217" t="str">
            <v>872 웨이크（폐지）</v>
          </cell>
          <cell r="B217" t="str">
            <v>TK 토켈라우</v>
          </cell>
        </row>
        <row r="218">
          <cell r="A218" t="str">
            <v>876 왈리푸투나제도</v>
          </cell>
          <cell r="B218" t="str">
            <v>TO 통가</v>
          </cell>
        </row>
        <row r="219">
          <cell r="A219" t="str">
            <v>882 서사모아</v>
          </cell>
          <cell r="B219" t="str">
            <v>TT 트리니나드　토바고</v>
          </cell>
        </row>
        <row r="220">
          <cell r="A220" t="str">
            <v>886 북예멘</v>
          </cell>
          <cell r="B220" t="str">
            <v>TN 튀니지</v>
          </cell>
        </row>
        <row r="221">
          <cell r="A221" t="str">
            <v>890 유고슬라비아</v>
          </cell>
          <cell r="B221" t="str">
            <v>TR 터키</v>
          </cell>
        </row>
        <row r="222">
          <cell r="A222" t="str">
            <v>894 잠비아</v>
          </cell>
          <cell r="B222" t="str">
            <v>TM 투르크맨</v>
          </cell>
        </row>
        <row r="223">
          <cell r="A223" t="str">
            <v>895 카자흐스탄</v>
          </cell>
          <cell r="B223" t="str">
            <v>TC 투르크＆카이코스　군도</v>
          </cell>
        </row>
        <row r="224">
          <cell r="A224" t="str">
            <v>896 아르메니아</v>
          </cell>
          <cell r="B224" t="str">
            <v>TV 투발루</v>
          </cell>
        </row>
        <row r="225">
          <cell r="A225" t="str">
            <v>897 아제르바이젠</v>
          </cell>
          <cell r="B225" t="str">
            <v>US 미국</v>
          </cell>
        </row>
        <row r="226">
          <cell r="A226" t="str">
            <v>898 에스토니아</v>
          </cell>
          <cell r="B226" t="str">
            <v>UG 우간다</v>
          </cell>
        </row>
        <row r="227">
          <cell r="A227" t="str">
            <v>899 조지아</v>
          </cell>
          <cell r="B227" t="str">
            <v>UA 우크라이나</v>
          </cell>
        </row>
        <row r="228">
          <cell r="A228" t="str">
            <v>900 키르기스탄</v>
          </cell>
          <cell r="B228" t="str">
            <v>AE 아랍에미르트　연합</v>
          </cell>
        </row>
        <row r="229">
          <cell r="A229" t="str">
            <v>901 라트비아</v>
          </cell>
          <cell r="B229" t="str">
            <v>GB 영국</v>
          </cell>
        </row>
        <row r="230">
          <cell r="A230" t="str">
            <v>902 리투아니아</v>
          </cell>
          <cell r="B230" t="str">
            <v>UM 마이너　아우틀링　합중국　군도</v>
          </cell>
        </row>
        <row r="231">
          <cell r="A231" t="str">
            <v>903 몰도바공화국</v>
          </cell>
          <cell r="B231" t="str">
            <v>UY 우루과이</v>
          </cell>
        </row>
        <row r="232">
          <cell r="A232" t="str">
            <v>904 타지키스탄</v>
          </cell>
          <cell r="B232" t="str">
            <v>UZ 우즈베크</v>
          </cell>
        </row>
        <row r="233">
          <cell r="A233" t="str">
            <v>905 투르크메니스탄</v>
          </cell>
          <cell r="B233" t="str">
            <v>VU 바누아투</v>
          </cell>
        </row>
        <row r="234">
          <cell r="A234" t="str">
            <v>906 우즈베키스탄</v>
          </cell>
          <cell r="B234" t="str">
            <v>VA 교황청</v>
          </cell>
        </row>
        <row r="235">
          <cell r="A235" t="str">
            <v>907 슬로바키아</v>
          </cell>
          <cell r="B235" t="str">
            <v>VE 베네수엘라</v>
          </cell>
        </row>
        <row r="236">
          <cell r="A236" t="str">
            <v>908 마이크로네시아연합</v>
          </cell>
          <cell r="B236" t="str">
            <v>VN 베트남</v>
          </cell>
        </row>
        <row r="237">
          <cell r="A237" t="str">
            <v>909 북마리아나제도</v>
          </cell>
          <cell r="B237" t="str">
            <v>VG 영령　버진군도</v>
          </cell>
        </row>
        <row r="238">
          <cell r="A238" t="str">
            <v>910 팔라우</v>
          </cell>
          <cell r="B238" t="str">
            <v>VI 미령　버진군도</v>
          </cell>
        </row>
        <row r="239">
          <cell r="A239" t="str">
            <v>911 미군소외곽제도</v>
          </cell>
          <cell r="B239" t="str">
            <v>WK 웨이크　아일랜드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ily"/>
      <sheetName val="MM99"/>
      <sheetName val="MM100+64"/>
      <sheetName val="SX50"/>
      <sheetName val="BRM33"/>
      <sheetName val="Gun244"/>
      <sheetName val="SX154"/>
      <sheetName val="Gun150"/>
      <sheetName val="mks200"/>
      <sheetName val="silver "/>
      <sheetName val="MKS5"/>
      <sheetName val="Self"/>
      <sheetName val="Fat1"/>
      <sheetName val="RH-IR"/>
      <sheetName val="PT Recycle"/>
      <sheetName val="MM60(未#60)"/>
      <sheetName val="MM100(未#61)"/>
      <sheetName val="PD Recycle"/>
      <sheetName val="draf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외투제한"/>
      <sheetName val="CODE"/>
      <sheetName val="4"/>
      <sheetName val="4의2"/>
      <sheetName val="6"/>
      <sheetName val="6의3"/>
      <sheetName val="6의4"/>
      <sheetName val="7"/>
      <sheetName val="9"/>
      <sheetName val="10"/>
      <sheetName val="12"/>
      <sheetName val="13"/>
      <sheetName val="15"/>
      <sheetName val="16(1)"/>
      <sheetName val="16(2)"/>
      <sheetName val="16의2"/>
      <sheetName val="17"/>
      <sheetName val="18"/>
      <sheetName val="19"/>
      <sheetName val="20"/>
      <sheetName val="7의2"/>
      <sheetName val="7의3"/>
      <sheetName val="10의8"/>
      <sheetName val="10의9"/>
      <sheetName val="Summary"/>
      <sheetName val="BAR 1"/>
      <sheetName val="BAR 2"/>
      <sheetName val="BAR 3"/>
      <sheetName val="BAR 4"/>
      <sheetName val="BAR 5"/>
      <sheetName val="BAR 6"/>
      <sheetName val="BAR_1"/>
      <sheetName val="BAR_2"/>
      <sheetName val="BAR_3"/>
      <sheetName val="BAR_4"/>
      <sheetName val="BAR_5"/>
      <sheetName val="BAR_6"/>
      <sheetName val="BAR_11"/>
      <sheetName val="BAR_21"/>
      <sheetName val="BAR_31"/>
      <sheetName val="BAR_41"/>
      <sheetName val="BAR_51"/>
      <sheetName val="BAR_61"/>
      <sheetName val="BAR_12"/>
      <sheetName val="BAR_22"/>
      <sheetName val="BAR_32"/>
      <sheetName val="BAR_42"/>
      <sheetName val="BAR_52"/>
      <sheetName val="BAR_62"/>
      <sheetName val="BAR_13"/>
      <sheetName val="BAR_23"/>
      <sheetName val="BAR_33"/>
      <sheetName val="BAR_43"/>
      <sheetName val="BAR_53"/>
      <sheetName val="BAR_63"/>
    </sheetNames>
    <sheetDataSet>
      <sheetData sheetId="0"/>
      <sheetData sheetId="1" refreshError="1">
        <row r="2">
          <cell r="B2" t="str">
            <v>AF 아프카니스탄</v>
          </cell>
          <cell r="F2" t="str">
            <v>01: 매출(유형자산)</v>
          </cell>
        </row>
        <row r="3">
          <cell r="B3" t="str">
            <v>DZ 알제리</v>
          </cell>
          <cell r="F3" t="str">
            <v>04: 매출(금전대부)</v>
          </cell>
        </row>
        <row r="4">
          <cell r="B4" t="str">
            <v>AD 안도라</v>
          </cell>
          <cell r="F4" t="str">
            <v>05: 매출(기타)</v>
          </cell>
        </row>
        <row r="5">
          <cell r="B5" t="str">
            <v>AQ 안타티카</v>
          </cell>
          <cell r="F5" t="str">
            <v>06: 매입(유형자산)</v>
          </cell>
        </row>
        <row r="6">
          <cell r="B6" t="str">
            <v>AR 아르헨티나</v>
          </cell>
          <cell r="F6" t="str">
            <v>09: 매입(금전대부)</v>
          </cell>
        </row>
        <row r="7">
          <cell r="B7" t="str">
            <v>AU 호주</v>
          </cell>
          <cell r="F7" t="str">
            <v>10: 매입(기타)</v>
          </cell>
        </row>
        <row r="8">
          <cell r="B8" t="str">
            <v>AZ 아제르바이잔</v>
          </cell>
        </row>
        <row r="9">
          <cell r="B9" t="str">
            <v>BH 바레인</v>
          </cell>
        </row>
        <row r="10">
          <cell r="B10" t="str">
            <v>BB 바베이도스</v>
          </cell>
        </row>
        <row r="11">
          <cell r="B11" t="str">
            <v>BY 베라루스</v>
          </cell>
        </row>
        <row r="12">
          <cell r="B12" t="str">
            <v>BZ 벨리제</v>
          </cell>
        </row>
        <row r="13">
          <cell r="B13" t="str">
            <v>BM 버뮤다</v>
          </cell>
        </row>
        <row r="14">
          <cell r="B14" t="str">
            <v>BO 볼리비아</v>
          </cell>
        </row>
        <row r="15">
          <cell r="B15" t="str">
            <v>BW 보츠와나</v>
          </cell>
        </row>
        <row r="16">
          <cell r="B16" t="str">
            <v>BR 브라질</v>
          </cell>
        </row>
        <row r="17">
          <cell r="B17" t="str">
            <v>IO 영령　인도양</v>
          </cell>
        </row>
        <row r="18">
          <cell r="B18" t="str">
            <v>BG 불가리아</v>
          </cell>
        </row>
        <row r="19">
          <cell r="B19" t="str">
            <v>BI 부룬디</v>
          </cell>
        </row>
        <row r="20">
          <cell r="B20" t="str">
            <v>CM 카메룬</v>
          </cell>
        </row>
        <row r="21">
          <cell r="B21" t="str">
            <v>CT 캔톤　아일랜드</v>
          </cell>
        </row>
        <row r="22">
          <cell r="B22" t="str">
            <v>KY 영령　캐이만　군도</v>
          </cell>
        </row>
        <row r="23">
          <cell r="B23" t="str">
            <v>TD 챠드</v>
          </cell>
        </row>
        <row r="24">
          <cell r="B24" t="str">
            <v>CN 중국</v>
          </cell>
        </row>
        <row r="25">
          <cell r="B25" t="str">
            <v>CX 크리스마스　아일랜드</v>
          </cell>
        </row>
        <row r="26">
          <cell r="B26" t="str">
            <v>CO 콜롬비아</v>
          </cell>
        </row>
        <row r="27">
          <cell r="B27" t="str">
            <v>CG 콩고</v>
          </cell>
        </row>
        <row r="28">
          <cell r="B28" t="str">
            <v>CR 코스타리카</v>
          </cell>
        </row>
        <row r="29">
          <cell r="B29" t="str">
            <v>CU 쿠바</v>
          </cell>
        </row>
        <row r="30">
          <cell r="B30" t="str">
            <v>CZ 체코공화국</v>
          </cell>
        </row>
        <row r="31">
          <cell r="B31" t="str">
            <v>DJ 지부티</v>
          </cell>
        </row>
        <row r="32">
          <cell r="B32" t="str">
            <v>DO 도미니카공화국</v>
          </cell>
        </row>
        <row r="33">
          <cell r="B33" t="str">
            <v>TP 티모르</v>
          </cell>
        </row>
        <row r="34">
          <cell r="B34" t="str">
            <v>EG 이집트</v>
          </cell>
        </row>
        <row r="35">
          <cell r="B35" t="str">
            <v>GQ 적도　기니</v>
          </cell>
        </row>
        <row r="36">
          <cell r="B36" t="str">
            <v>EE 에스토니아</v>
          </cell>
        </row>
        <row r="37">
          <cell r="B37" t="str">
            <v>FO 파로에　군도</v>
          </cell>
        </row>
        <row r="38">
          <cell r="B38" t="str">
            <v>FJ 피지</v>
          </cell>
        </row>
        <row r="39">
          <cell r="B39" t="str">
            <v>FR 프랑스</v>
          </cell>
        </row>
        <row r="40">
          <cell r="B40" t="str">
            <v>PF 불령　폴리네시아</v>
          </cell>
        </row>
        <row r="41">
          <cell r="B41" t="str">
            <v>GA 가봉</v>
          </cell>
        </row>
        <row r="42">
          <cell r="B42" t="str">
            <v>GE 그루지야</v>
          </cell>
        </row>
        <row r="43">
          <cell r="B43" t="str">
            <v>GH 가나</v>
          </cell>
        </row>
        <row r="44">
          <cell r="B44" t="str">
            <v>GR 그리스</v>
          </cell>
        </row>
        <row r="45">
          <cell r="B45" t="str">
            <v>GD 그레나다</v>
          </cell>
        </row>
        <row r="46">
          <cell r="B46" t="str">
            <v>GU 괌</v>
          </cell>
        </row>
        <row r="47">
          <cell r="B47" t="str">
            <v>GN 기니</v>
          </cell>
        </row>
        <row r="48">
          <cell r="B48" t="str">
            <v>GY 가이아나</v>
          </cell>
        </row>
        <row r="49">
          <cell r="B49" t="str">
            <v>HM 허드　앤　맥도날드　군도</v>
          </cell>
        </row>
        <row r="50">
          <cell r="B50" t="str">
            <v>HK 홍콩</v>
          </cell>
        </row>
        <row r="51">
          <cell r="B51" t="str">
            <v>IS 아이슬란드</v>
          </cell>
        </row>
        <row r="52">
          <cell r="B52" t="str">
            <v>ID 인도네시아</v>
          </cell>
        </row>
        <row r="53">
          <cell r="B53" t="str">
            <v>IQ 이라크</v>
          </cell>
        </row>
        <row r="54">
          <cell r="B54" t="str">
            <v>IL 이스라엘</v>
          </cell>
        </row>
        <row r="55">
          <cell r="B55" t="str">
            <v>CI 코트디　봐르</v>
          </cell>
        </row>
        <row r="56">
          <cell r="B56" t="str">
            <v>JP 일본</v>
          </cell>
        </row>
        <row r="57">
          <cell r="B57" t="str">
            <v>JO 요르단</v>
          </cell>
        </row>
        <row r="58">
          <cell r="B58" t="str">
            <v>KE 케냐</v>
          </cell>
        </row>
        <row r="59">
          <cell r="B59" t="str">
            <v>KP 북한</v>
          </cell>
        </row>
        <row r="60">
          <cell r="B60" t="str">
            <v>KR 한국</v>
          </cell>
        </row>
        <row r="61">
          <cell r="B61" t="str">
            <v>KW 쿠웨이트</v>
          </cell>
        </row>
        <row r="62">
          <cell r="B62" t="str">
            <v>AL 알바니아</v>
          </cell>
        </row>
        <row r="63">
          <cell r="B63" t="str">
            <v>AS 아메리칸　사모아</v>
          </cell>
        </row>
        <row r="64">
          <cell r="B64" t="str">
            <v>AO 앙골라</v>
          </cell>
        </row>
        <row r="65">
          <cell r="B65" t="str">
            <v>AG 안티가　바부다</v>
          </cell>
        </row>
        <row r="66">
          <cell r="B66" t="str">
            <v>AM 아르메니아</v>
          </cell>
        </row>
        <row r="67">
          <cell r="B67" t="str">
            <v>AT 오스트리아</v>
          </cell>
        </row>
        <row r="68">
          <cell r="B68" t="str">
            <v>BS 바하마</v>
          </cell>
        </row>
        <row r="69">
          <cell r="B69" t="str">
            <v>BD 방글라데시</v>
          </cell>
        </row>
        <row r="70">
          <cell r="B70" t="str">
            <v>BY 베라루스</v>
          </cell>
        </row>
        <row r="71">
          <cell r="B71" t="str">
            <v>BE 벨기에</v>
          </cell>
        </row>
        <row r="72">
          <cell r="B72" t="str">
            <v>BJ 베닝</v>
          </cell>
        </row>
        <row r="73">
          <cell r="B73" t="str">
            <v>BT 부탄</v>
          </cell>
        </row>
        <row r="74">
          <cell r="B74" t="str">
            <v>BA 보스니아－헤르체고비나</v>
          </cell>
        </row>
        <row r="75">
          <cell r="B75" t="str">
            <v>BV 보빗　군도</v>
          </cell>
        </row>
        <row r="76">
          <cell r="B76" t="str">
            <v>BQ 영령　안탁</v>
          </cell>
        </row>
        <row r="77">
          <cell r="B77" t="str">
            <v>BN 브루나이</v>
          </cell>
        </row>
        <row r="78">
          <cell r="B78" t="str">
            <v>BF 부르키나　파소</v>
          </cell>
        </row>
        <row r="79">
          <cell r="B79" t="str">
            <v>KH 캄보디아</v>
          </cell>
        </row>
        <row r="80">
          <cell r="B80" t="str">
            <v>CA 카나다</v>
          </cell>
        </row>
        <row r="81">
          <cell r="B81" t="str">
            <v>CV 카보　베르데</v>
          </cell>
        </row>
        <row r="82">
          <cell r="B82" t="str">
            <v>CF 중앙아프리카</v>
          </cell>
        </row>
        <row r="83">
          <cell r="B83" t="str">
            <v>CL 칠레</v>
          </cell>
        </row>
        <row r="84">
          <cell r="B84" t="str">
            <v>TW 대만</v>
          </cell>
        </row>
        <row r="85">
          <cell r="B85" t="str">
            <v>CC 코코스　군도</v>
          </cell>
        </row>
        <row r="86">
          <cell r="B86" t="str">
            <v>KM 코모로스</v>
          </cell>
        </row>
        <row r="87">
          <cell r="B87" t="str">
            <v>CK 쿡　아일랜드</v>
          </cell>
        </row>
        <row r="88">
          <cell r="B88" t="str">
            <v>HR 크로아티아</v>
          </cell>
        </row>
        <row r="89">
          <cell r="B89" t="str">
            <v>CY 사이프러스</v>
          </cell>
        </row>
        <row r="90">
          <cell r="B90" t="str">
            <v>DK 덴마크</v>
          </cell>
        </row>
        <row r="91">
          <cell r="B91" t="str">
            <v>DM 도미니카연방</v>
          </cell>
        </row>
        <row r="92">
          <cell r="B92" t="str">
            <v>TP 티모르</v>
          </cell>
        </row>
        <row r="93">
          <cell r="B93" t="str">
            <v>EC 에쿠아도르</v>
          </cell>
        </row>
        <row r="94">
          <cell r="B94" t="str">
            <v>SV 엘살바도르</v>
          </cell>
        </row>
        <row r="95">
          <cell r="B95" t="str">
            <v>ER 에리트리아</v>
          </cell>
        </row>
        <row r="96">
          <cell r="B96" t="str">
            <v>ET 이디오피아</v>
          </cell>
        </row>
        <row r="97">
          <cell r="B97" t="str">
            <v>FK 포클랜드　군도</v>
          </cell>
        </row>
        <row r="98">
          <cell r="B98" t="str">
            <v>FI 핀란드</v>
          </cell>
        </row>
        <row r="99">
          <cell r="B99" t="str">
            <v>GF 불령　가이아나</v>
          </cell>
        </row>
        <row r="100">
          <cell r="B100" t="str">
            <v>TF 불령　남부지역</v>
          </cell>
        </row>
        <row r="101">
          <cell r="B101" t="str">
            <v>GM 감비아</v>
          </cell>
        </row>
        <row r="102">
          <cell r="B102" t="str">
            <v>DE 독일</v>
          </cell>
        </row>
        <row r="103">
          <cell r="B103" t="str">
            <v>GI 지브랄타</v>
          </cell>
        </row>
        <row r="104">
          <cell r="B104" t="str">
            <v>GL 그린랜드</v>
          </cell>
        </row>
        <row r="105">
          <cell r="B105" t="str">
            <v>GP 과델로프</v>
          </cell>
        </row>
        <row r="106">
          <cell r="B106" t="str">
            <v>GT 과테말라</v>
          </cell>
        </row>
        <row r="107">
          <cell r="B107" t="str">
            <v>GW 기네비소</v>
          </cell>
        </row>
        <row r="108">
          <cell r="B108" t="str">
            <v>HT 아이티</v>
          </cell>
        </row>
        <row r="109">
          <cell r="B109" t="str">
            <v>HN 온두라스</v>
          </cell>
        </row>
        <row r="110">
          <cell r="B110" t="str">
            <v>HU 헝가리</v>
          </cell>
        </row>
        <row r="111">
          <cell r="B111" t="str">
            <v>IN 인디아</v>
          </cell>
        </row>
        <row r="112">
          <cell r="B112" t="str">
            <v>IR 이란</v>
          </cell>
        </row>
        <row r="113">
          <cell r="B113" t="str">
            <v>IE 아일랜드</v>
          </cell>
        </row>
        <row r="114">
          <cell r="B114" t="str">
            <v>IT 이탈리아</v>
          </cell>
        </row>
        <row r="115">
          <cell r="B115" t="str">
            <v>JM 자마이카</v>
          </cell>
        </row>
        <row r="116">
          <cell r="B116" t="str">
            <v>JT 죤스톤　아일랜드</v>
          </cell>
        </row>
        <row r="117">
          <cell r="B117" t="str">
            <v>KZ 카자흐</v>
          </cell>
        </row>
        <row r="118">
          <cell r="B118" t="str">
            <v>KI 키리바티</v>
          </cell>
        </row>
        <row r="119">
          <cell r="B119" t="str">
            <v>KG 키르기스</v>
          </cell>
        </row>
        <row r="120">
          <cell r="B120" t="str">
            <v>LA 라오스</v>
          </cell>
        </row>
        <row r="121">
          <cell r="B121" t="str">
            <v>LV 라트비아</v>
          </cell>
        </row>
        <row r="122">
          <cell r="B122" t="str">
            <v>LB 레바논</v>
          </cell>
        </row>
        <row r="123">
          <cell r="B123" t="str">
            <v>LS 레소토</v>
          </cell>
        </row>
        <row r="124">
          <cell r="B124" t="str">
            <v>LR 라이베리아</v>
          </cell>
        </row>
        <row r="125">
          <cell r="B125" t="str">
            <v>LY 리비아</v>
          </cell>
        </row>
        <row r="126">
          <cell r="B126" t="str">
            <v>LI 리히텐슈타인</v>
          </cell>
        </row>
        <row r="127">
          <cell r="B127" t="str">
            <v>LT 리투아니아</v>
          </cell>
        </row>
        <row r="128">
          <cell r="B128" t="str">
            <v>LU 룩셈부르크</v>
          </cell>
        </row>
        <row r="129">
          <cell r="B129" t="str">
            <v>MO 마카오</v>
          </cell>
        </row>
        <row r="130">
          <cell r="B130" t="str">
            <v>YM 마세도니아</v>
          </cell>
        </row>
        <row r="131">
          <cell r="B131" t="str">
            <v>MG 마다가스카르</v>
          </cell>
        </row>
        <row r="132">
          <cell r="B132" t="str">
            <v>MW 말라위</v>
          </cell>
        </row>
        <row r="133">
          <cell r="B133" t="str">
            <v>MY 말레이지아</v>
          </cell>
        </row>
        <row r="134">
          <cell r="B134" t="str">
            <v>MV 몰디브</v>
          </cell>
        </row>
        <row r="135">
          <cell r="B135" t="str">
            <v>ML 말리</v>
          </cell>
        </row>
        <row r="136">
          <cell r="B136" t="str">
            <v>MT 몰타</v>
          </cell>
        </row>
        <row r="137">
          <cell r="B137" t="str">
            <v>MH 마샬　군도</v>
          </cell>
        </row>
        <row r="138">
          <cell r="B138" t="str">
            <v>MQ 마티니크</v>
          </cell>
        </row>
        <row r="139">
          <cell r="B139" t="str">
            <v>MR 모리타니</v>
          </cell>
        </row>
        <row r="140">
          <cell r="B140" t="str">
            <v>MU 모리셔스</v>
          </cell>
        </row>
        <row r="141">
          <cell r="B141" t="str">
            <v>MX 멕시코</v>
          </cell>
        </row>
        <row r="142">
          <cell r="B142" t="str">
            <v>FM 마이크로네시아</v>
          </cell>
        </row>
        <row r="143">
          <cell r="B143" t="str">
            <v>MI 미드웨이　군도</v>
          </cell>
        </row>
        <row r="144">
          <cell r="B144" t="str">
            <v>MD 몰도바</v>
          </cell>
        </row>
        <row r="145">
          <cell r="B145" t="str">
            <v>MC 모나코</v>
          </cell>
        </row>
        <row r="146">
          <cell r="B146" t="str">
            <v>MN 몽골</v>
          </cell>
        </row>
        <row r="147">
          <cell r="B147" t="str">
            <v>MS 몬트세라트</v>
          </cell>
        </row>
        <row r="148">
          <cell r="B148" t="str">
            <v>MA 모로코</v>
          </cell>
        </row>
        <row r="149">
          <cell r="B149" t="str">
            <v>MZ 모잠비크</v>
          </cell>
        </row>
        <row r="150">
          <cell r="B150" t="str">
            <v>MM 미얀마</v>
          </cell>
        </row>
        <row r="151">
          <cell r="B151" t="str">
            <v>NA 나미비아</v>
          </cell>
        </row>
        <row r="152">
          <cell r="B152" t="str">
            <v>NA 나미비아</v>
          </cell>
        </row>
        <row r="153">
          <cell r="B153" t="str">
            <v>NR 나우르</v>
          </cell>
        </row>
        <row r="154">
          <cell r="B154" t="str">
            <v>NP 네팔</v>
          </cell>
        </row>
        <row r="155">
          <cell r="B155" t="str">
            <v>NL 네덜란드</v>
          </cell>
        </row>
        <row r="156">
          <cell r="B156" t="str">
            <v>NT 중립지대</v>
          </cell>
        </row>
        <row r="157">
          <cell r="B157" t="str">
            <v>NC 뉴　칼레도니아</v>
          </cell>
        </row>
        <row r="158">
          <cell r="B158" t="str">
            <v>NZ 뉴질랜드</v>
          </cell>
        </row>
        <row r="159">
          <cell r="B159" t="str">
            <v>NI 니카라과</v>
          </cell>
        </row>
        <row r="160">
          <cell r="B160" t="str">
            <v>NE 니제르</v>
          </cell>
        </row>
        <row r="161">
          <cell r="B161" t="str">
            <v>NG 나이지리아</v>
          </cell>
        </row>
        <row r="162">
          <cell r="B162" t="str">
            <v>NU 니우에</v>
          </cell>
        </row>
        <row r="163">
          <cell r="B163" t="str">
            <v>NF 노폴크　이일랜드</v>
          </cell>
        </row>
        <row r="164">
          <cell r="B164" t="str">
            <v>MP 북마리아나　군도</v>
          </cell>
        </row>
        <row r="165">
          <cell r="B165" t="str">
            <v>NO 노르웨이</v>
          </cell>
        </row>
        <row r="166">
          <cell r="B166" t="str">
            <v>OM 오만</v>
          </cell>
        </row>
        <row r="167">
          <cell r="B167" t="str">
            <v>PK 파키스탄</v>
          </cell>
        </row>
        <row r="168">
          <cell r="B168" t="str">
            <v>PW 팔라우</v>
          </cell>
        </row>
        <row r="169">
          <cell r="B169" t="str">
            <v>PA 파나마</v>
          </cell>
        </row>
        <row r="170">
          <cell r="B170" t="str">
            <v>PZ 파나마　운하지역</v>
          </cell>
        </row>
        <row r="171">
          <cell r="B171" t="str">
            <v>PG 파푸아뉴기니</v>
          </cell>
        </row>
        <row r="172">
          <cell r="B172" t="str">
            <v>PY 파라과이</v>
          </cell>
        </row>
        <row r="173">
          <cell r="B173" t="str">
            <v>PE 페루</v>
          </cell>
        </row>
        <row r="174">
          <cell r="B174" t="str">
            <v>PH 필리핀</v>
          </cell>
        </row>
        <row r="175">
          <cell r="B175" t="str">
            <v>PN 피트카이른</v>
          </cell>
        </row>
        <row r="176">
          <cell r="B176" t="str">
            <v>PO 팔레스타인　해방기구</v>
          </cell>
        </row>
        <row r="177">
          <cell r="B177" t="str">
            <v>PL 폴란드</v>
          </cell>
        </row>
        <row r="178">
          <cell r="B178" t="str">
            <v>PS 사하라인민아랍공화국</v>
          </cell>
        </row>
        <row r="179">
          <cell r="B179" t="str">
            <v>PT 포르투갈</v>
          </cell>
        </row>
        <row r="180">
          <cell r="B180" t="str">
            <v>PR 푸에르토리코</v>
          </cell>
        </row>
        <row r="181">
          <cell r="B181" t="str">
            <v>QA 카타르</v>
          </cell>
        </row>
        <row r="182">
          <cell r="B182" t="str">
            <v>RE 불령　리유니온，코모도제도</v>
          </cell>
        </row>
        <row r="183">
          <cell r="B183" t="str">
            <v>RO 루마니아</v>
          </cell>
        </row>
        <row r="184">
          <cell r="B184" t="str">
            <v>RU 러시아연방</v>
          </cell>
        </row>
        <row r="185">
          <cell r="B185" t="str">
            <v>RW 루안다</v>
          </cell>
        </row>
        <row r="186">
          <cell r="B186" t="str">
            <v>WS 서사모아</v>
          </cell>
        </row>
        <row r="187">
          <cell r="B187" t="str">
            <v>SH 세인트　헬레나</v>
          </cell>
        </row>
        <row r="188">
          <cell r="B188" t="str">
            <v>KN 세인트　키츠　네비스</v>
          </cell>
        </row>
        <row r="189">
          <cell r="B189" t="str">
            <v>LC 세인트　루시아</v>
          </cell>
        </row>
        <row r="190">
          <cell r="B190" t="str">
            <v>SM 산마리노</v>
          </cell>
        </row>
        <row r="191">
          <cell r="B191" t="str">
            <v>ST 상토메　프린스페</v>
          </cell>
        </row>
        <row r="192">
          <cell r="B192" t="str">
            <v>SA 사우디아라비아</v>
          </cell>
        </row>
        <row r="193">
          <cell r="B193" t="str">
            <v>SN 세네갈</v>
          </cell>
        </row>
        <row r="194">
          <cell r="B194" t="str">
            <v>SC 세이쉘</v>
          </cell>
        </row>
        <row r="195">
          <cell r="B195" t="str">
            <v>SL 시에라　리온</v>
          </cell>
        </row>
        <row r="196">
          <cell r="B196" t="str">
            <v>SG 싱가포르</v>
          </cell>
        </row>
        <row r="197">
          <cell r="B197" t="str">
            <v>SK 슬로바키아　공화국</v>
          </cell>
        </row>
        <row r="198">
          <cell r="B198" t="str">
            <v>SI 슬로베니아</v>
          </cell>
        </row>
        <row r="199">
          <cell r="B199" t="str">
            <v>SB 솔로몬　군도</v>
          </cell>
        </row>
        <row r="200">
          <cell r="B200" t="str">
            <v>SO 소말리아</v>
          </cell>
        </row>
        <row r="201">
          <cell r="B201" t="str">
            <v>ZA 남아프리카</v>
          </cell>
        </row>
        <row r="202">
          <cell r="B202" t="str">
            <v>ES 스페인</v>
          </cell>
        </row>
        <row r="203">
          <cell r="B203" t="str">
            <v>PM 세인트　피레　미켈론</v>
          </cell>
        </row>
        <row r="204">
          <cell r="B204" t="str">
            <v>LK 스리랑카</v>
          </cell>
        </row>
        <row r="205">
          <cell r="B205" t="str">
            <v>SD 수단</v>
          </cell>
        </row>
        <row r="206">
          <cell r="B206" t="str">
            <v>SD 수단</v>
          </cell>
        </row>
        <row r="207">
          <cell r="B207" t="str">
            <v>SR 수리남</v>
          </cell>
        </row>
        <row r="208">
          <cell r="B208" t="str">
            <v>SJ 스발바드　군도</v>
          </cell>
        </row>
        <row r="209">
          <cell r="B209" t="str">
            <v>SZ 스와질랜드</v>
          </cell>
        </row>
        <row r="210">
          <cell r="B210" t="str">
            <v>SE 스웨덴</v>
          </cell>
        </row>
        <row r="211">
          <cell r="B211" t="str">
            <v>CH 스위스</v>
          </cell>
        </row>
        <row r="212">
          <cell r="B212" t="str">
            <v>SY 시리아</v>
          </cell>
        </row>
        <row r="213">
          <cell r="B213" t="str">
            <v>TJ 타지크</v>
          </cell>
        </row>
        <row r="214">
          <cell r="B214" t="str">
            <v>TZ 탄자니아</v>
          </cell>
        </row>
        <row r="215">
          <cell r="B215" t="str">
            <v>TH 태국</v>
          </cell>
        </row>
        <row r="216">
          <cell r="B216" t="str">
            <v>TG 토고</v>
          </cell>
        </row>
        <row r="217">
          <cell r="B217" t="str">
            <v>TK 토켈라우</v>
          </cell>
        </row>
        <row r="218">
          <cell r="B218" t="str">
            <v>TO 통가</v>
          </cell>
        </row>
        <row r="219">
          <cell r="B219" t="str">
            <v>TT 트리니나드　토바고</v>
          </cell>
        </row>
        <row r="220">
          <cell r="B220" t="str">
            <v>TN 튀니지</v>
          </cell>
        </row>
        <row r="221">
          <cell r="B221" t="str">
            <v>TR 터키</v>
          </cell>
        </row>
        <row r="222">
          <cell r="B222" t="str">
            <v>TM 투르크맨</v>
          </cell>
        </row>
        <row r="223">
          <cell r="B223" t="str">
            <v>TC 투르크＆카이코스　군도</v>
          </cell>
        </row>
        <row r="224">
          <cell r="B224" t="str">
            <v>TV 투발루</v>
          </cell>
        </row>
        <row r="225">
          <cell r="B225" t="str">
            <v>US 미국</v>
          </cell>
        </row>
        <row r="226">
          <cell r="B226" t="str">
            <v>UG 우간다</v>
          </cell>
        </row>
        <row r="227">
          <cell r="B227" t="str">
            <v>UA 우크라이나</v>
          </cell>
        </row>
        <row r="228">
          <cell r="B228" t="str">
            <v>AE 아랍에미르트　연합</v>
          </cell>
        </row>
        <row r="229">
          <cell r="B229" t="str">
            <v>GB 영국</v>
          </cell>
        </row>
        <row r="230">
          <cell r="B230" t="str">
            <v>UM 마이너　아우틀링　합중국　군도</v>
          </cell>
        </row>
        <row r="231">
          <cell r="B231" t="str">
            <v>UY 우루과이</v>
          </cell>
        </row>
        <row r="232">
          <cell r="B232" t="str">
            <v>UZ 우즈베크</v>
          </cell>
        </row>
        <row r="233">
          <cell r="B233" t="str">
            <v>VU 바누아투</v>
          </cell>
        </row>
        <row r="234">
          <cell r="B234" t="str">
            <v>VA 교황청</v>
          </cell>
        </row>
        <row r="235">
          <cell r="B235" t="str">
            <v>VE 베네수엘라</v>
          </cell>
        </row>
        <row r="236">
          <cell r="B236" t="str">
            <v>VN 베트남</v>
          </cell>
        </row>
        <row r="237">
          <cell r="B237" t="str">
            <v>VG 영령　버진군도</v>
          </cell>
        </row>
        <row r="238">
          <cell r="B238" t="str">
            <v>VI 미령　버진군도</v>
          </cell>
        </row>
        <row r="239">
          <cell r="B239" t="str">
            <v>WK 웨이크　아일랜드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AY"/>
      <sheetName val="AUSIR"/>
      <sheetName val="GCAP"/>
      <sheetName val="GOBEX"/>
      <sheetName val="HUACO"/>
      <sheetName val="HR"/>
      <sheetName val="JHL"/>
      <sheetName val="KLT"/>
      <sheetName val="LCH"/>
      <sheetName val="NGTLP"/>
      <sheetName val="SPC"/>
      <sheetName val="TDC"/>
      <sheetName val="YLG"/>
      <sheetName val="Lege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出倉入箱 "/>
      <sheetName val="NSSM-豐業"/>
      <sheetName val="三井"/>
      <sheetName val="HERAEUS"/>
      <sheetName val="JM-2"/>
      <sheetName val="出倉入箱_"/>
      <sheetName val="出倉入箱_1"/>
      <sheetName val="出倉入箱_2"/>
      <sheetName val="出倉入箱_3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DA1E4-28B9-436B-AE5A-7B913010A609}">
  <sheetPr>
    <tabColor rgb="FF00B0F0"/>
  </sheetPr>
  <dimension ref="A1:G32"/>
  <sheetViews>
    <sheetView tabSelected="1" zoomScale="70" zoomScaleNormal="70" workbookViewId="0">
      <pane ySplit="1" topLeftCell="A10" activePane="bottomLeft" state="frozen"/>
      <selection pane="bottomLeft" activeCell="F32" sqref="F32"/>
    </sheetView>
  </sheetViews>
  <sheetFormatPr defaultRowHeight="19.5"/>
  <cols>
    <col min="1" max="1" width="10.3984375" style="2" bestFit="1" customWidth="1"/>
    <col min="2" max="2" width="13.796875" style="2" customWidth="1"/>
    <col min="3" max="3" width="23.8984375" style="2" customWidth="1"/>
    <col min="4" max="4" width="14.19921875" style="2" bestFit="1" customWidth="1"/>
    <col min="5" max="5" width="15.19921875" style="2" bestFit="1" customWidth="1"/>
    <col min="6" max="6" width="12.19921875" style="2" bestFit="1" customWidth="1"/>
    <col min="7" max="12" width="8.796875" style="2"/>
    <col min="13" max="13" width="11" style="2" bestFit="1" customWidth="1"/>
    <col min="14" max="16384" width="8.796875" style="2"/>
  </cols>
  <sheetData>
    <row r="1" spans="1:7">
      <c r="A1" s="1"/>
      <c r="B1" s="1" t="s">
        <v>0</v>
      </c>
      <c r="C1" s="1" t="s">
        <v>1</v>
      </c>
      <c r="D1" s="1" t="s">
        <v>2</v>
      </c>
      <c r="E1" s="1" t="s">
        <v>3</v>
      </c>
      <c r="F1" s="1"/>
      <c r="G1" s="1"/>
    </row>
    <row r="2" spans="1:7" s="5" customFormat="1">
      <c r="A2" s="5" t="s">
        <v>5</v>
      </c>
      <c r="B2" s="6" t="s">
        <v>4</v>
      </c>
      <c r="C2" s="7" t="s">
        <v>6</v>
      </c>
      <c r="D2" s="6">
        <v>973.1</v>
      </c>
      <c r="E2" s="1">
        <f t="shared" ref="E2:E30" si="0">+ROUND(D2/32.1507,4)</f>
        <v>30.2668</v>
      </c>
      <c r="F2" s="8"/>
    </row>
    <row r="3" spans="1:7" s="5" customFormat="1">
      <c r="A3" s="5" t="s">
        <v>5</v>
      </c>
      <c r="B3" s="6" t="s">
        <v>4</v>
      </c>
      <c r="C3" s="7" t="s">
        <v>7</v>
      </c>
      <c r="D3" s="6">
        <v>950.5</v>
      </c>
      <c r="E3" s="1">
        <f t="shared" si="0"/>
        <v>29.5639</v>
      </c>
      <c r="F3" s="8"/>
    </row>
    <row r="4" spans="1:7" s="5" customFormat="1">
      <c r="A4" s="5" t="s">
        <v>5</v>
      </c>
      <c r="B4" s="6" t="s">
        <v>4</v>
      </c>
      <c r="C4" s="7" t="s">
        <v>8</v>
      </c>
      <c r="D4" s="6">
        <v>943</v>
      </c>
      <c r="E4" s="1">
        <f t="shared" si="0"/>
        <v>29.3306</v>
      </c>
      <c r="F4" s="8"/>
    </row>
    <row r="5" spans="1:7" s="5" customFormat="1">
      <c r="A5" s="5" t="s">
        <v>5</v>
      </c>
      <c r="B5" s="6" t="s">
        <v>4</v>
      </c>
      <c r="C5" s="7" t="s">
        <v>9</v>
      </c>
      <c r="D5" s="6">
        <v>971.8</v>
      </c>
      <c r="E5" s="1">
        <f t="shared" si="0"/>
        <v>30.226400000000002</v>
      </c>
      <c r="F5" s="8"/>
    </row>
    <row r="6" spans="1:7" s="5" customFormat="1">
      <c r="A6" s="5" t="s">
        <v>5</v>
      </c>
      <c r="B6" s="6" t="s">
        <v>4</v>
      </c>
      <c r="C6" s="7" t="s">
        <v>10</v>
      </c>
      <c r="D6" s="6">
        <v>974.9</v>
      </c>
      <c r="E6" s="1">
        <f t="shared" si="0"/>
        <v>30.322800000000001</v>
      </c>
      <c r="F6" s="8"/>
    </row>
    <row r="7" spans="1:7" s="5" customFormat="1">
      <c r="A7" s="5" t="s">
        <v>5</v>
      </c>
      <c r="B7" s="6" t="s">
        <v>4</v>
      </c>
      <c r="C7" s="7" t="s">
        <v>11</v>
      </c>
      <c r="D7" s="6">
        <v>979.4</v>
      </c>
      <c r="E7" s="1">
        <f t="shared" si="0"/>
        <v>30.462800000000001</v>
      </c>
      <c r="F7" s="8"/>
    </row>
    <row r="8" spans="1:7" s="5" customFormat="1">
      <c r="A8" s="5" t="s">
        <v>5</v>
      </c>
      <c r="B8" s="6" t="s">
        <v>4</v>
      </c>
      <c r="C8" s="7" t="s">
        <v>12</v>
      </c>
      <c r="D8" s="6">
        <v>913.5</v>
      </c>
      <c r="E8" s="1">
        <f t="shared" si="0"/>
        <v>28.4131</v>
      </c>
      <c r="F8" s="8"/>
    </row>
    <row r="9" spans="1:7" s="5" customFormat="1">
      <c r="A9" s="5" t="s">
        <v>5</v>
      </c>
      <c r="B9" s="6" t="s">
        <v>4</v>
      </c>
      <c r="C9" s="7" t="s">
        <v>13</v>
      </c>
      <c r="D9" s="6">
        <v>963</v>
      </c>
      <c r="E9" s="1">
        <f t="shared" si="0"/>
        <v>29.9527</v>
      </c>
      <c r="F9" s="8"/>
    </row>
    <row r="10" spans="1:7" s="5" customFormat="1">
      <c r="A10" s="5" t="s">
        <v>5</v>
      </c>
      <c r="B10" s="6" t="s">
        <v>4</v>
      </c>
      <c r="C10" s="7" t="s">
        <v>14</v>
      </c>
      <c r="D10" s="6">
        <v>929.5</v>
      </c>
      <c r="E10" s="1">
        <f t="shared" si="0"/>
        <v>28.910699999999999</v>
      </c>
      <c r="F10" s="8"/>
    </row>
    <row r="11" spans="1:7" s="5" customFormat="1">
      <c r="A11" s="5" t="s">
        <v>5</v>
      </c>
      <c r="B11" s="6" t="s">
        <v>4</v>
      </c>
      <c r="C11" s="7" t="s">
        <v>15</v>
      </c>
      <c r="D11" s="6">
        <v>990.8</v>
      </c>
      <c r="E11" s="1">
        <f t="shared" si="0"/>
        <v>30.817399999999999</v>
      </c>
      <c r="F11" s="8"/>
    </row>
    <row r="12" spans="1:7" s="5" customFormat="1">
      <c r="A12" s="5" t="s">
        <v>5</v>
      </c>
      <c r="B12" s="6" t="s">
        <v>4</v>
      </c>
      <c r="C12" s="7" t="s">
        <v>16</v>
      </c>
      <c r="D12" s="6">
        <v>959.1</v>
      </c>
      <c r="E12" s="1">
        <f t="shared" si="0"/>
        <v>29.831399999999999</v>
      </c>
      <c r="F12" s="8"/>
    </row>
    <row r="13" spans="1:7" s="5" customFormat="1">
      <c r="A13" s="5" t="s">
        <v>5</v>
      </c>
      <c r="B13" s="6" t="s">
        <v>4</v>
      </c>
      <c r="C13" s="7" t="s">
        <v>17</v>
      </c>
      <c r="D13" s="6">
        <v>934.9</v>
      </c>
      <c r="E13" s="1">
        <f t="shared" si="0"/>
        <v>29.078700000000001</v>
      </c>
      <c r="F13" s="8"/>
    </row>
    <row r="14" spans="1:7" s="5" customFormat="1">
      <c r="A14" s="5" t="s">
        <v>5</v>
      </c>
      <c r="B14" s="6" t="s">
        <v>4</v>
      </c>
      <c r="C14" s="7" t="s">
        <v>18</v>
      </c>
      <c r="D14" s="6">
        <v>955.6</v>
      </c>
      <c r="E14" s="1">
        <f t="shared" si="0"/>
        <v>29.7225</v>
      </c>
      <c r="F14" s="8"/>
    </row>
    <row r="15" spans="1:7" s="5" customFormat="1">
      <c r="A15" s="5" t="s">
        <v>5</v>
      </c>
      <c r="B15" s="6" t="s">
        <v>4</v>
      </c>
      <c r="C15" s="7" t="s">
        <v>19</v>
      </c>
      <c r="D15" s="6">
        <v>997.9</v>
      </c>
      <c r="E15" s="1">
        <f t="shared" si="0"/>
        <v>31.0382</v>
      </c>
      <c r="F15" s="8"/>
    </row>
    <row r="16" spans="1:7" s="5" customFormat="1">
      <c r="A16" s="5" t="s">
        <v>5</v>
      </c>
      <c r="B16" s="6" t="s">
        <v>4</v>
      </c>
      <c r="C16" s="7" t="s">
        <v>20</v>
      </c>
      <c r="D16" s="6">
        <v>998.7</v>
      </c>
      <c r="E16" s="1">
        <f t="shared" si="0"/>
        <v>31.063099999999999</v>
      </c>
      <c r="F16" s="8"/>
    </row>
    <row r="17" spans="1:6" s="5" customFormat="1">
      <c r="A17" s="5" t="s">
        <v>5</v>
      </c>
      <c r="B17" s="6" t="s">
        <v>4</v>
      </c>
      <c r="C17" s="7" t="s">
        <v>21</v>
      </c>
      <c r="D17" s="6">
        <v>1007.7</v>
      </c>
      <c r="E17" s="1">
        <f t="shared" si="0"/>
        <v>31.343</v>
      </c>
      <c r="F17" s="8"/>
    </row>
    <row r="18" spans="1:6" s="5" customFormat="1">
      <c r="A18" s="5" t="s">
        <v>5</v>
      </c>
      <c r="B18" s="6" t="s">
        <v>4</v>
      </c>
      <c r="C18" s="7" t="s">
        <v>22</v>
      </c>
      <c r="D18" s="6">
        <v>972.5</v>
      </c>
      <c r="E18" s="1">
        <f t="shared" si="0"/>
        <v>30.248200000000001</v>
      </c>
      <c r="F18" s="8"/>
    </row>
    <row r="19" spans="1:6" s="5" customFormat="1">
      <c r="A19" s="5" t="s">
        <v>5</v>
      </c>
      <c r="B19" s="6" t="s">
        <v>4</v>
      </c>
      <c r="C19" s="7" t="s">
        <v>23</v>
      </c>
      <c r="D19" s="6">
        <v>977.6</v>
      </c>
      <c r="E19" s="1">
        <f t="shared" si="0"/>
        <v>30.4068</v>
      </c>
      <c r="F19" s="8"/>
    </row>
    <row r="20" spans="1:6" s="5" customFormat="1">
      <c r="A20" s="5" t="s">
        <v>5</v>
      </c>
      <c r="B20" s="6" t="s">
        <v>4</v>
      </c>
      <c r="C20" s="7" t="s">
        <v>24</v>
      </c>
      <c r="D20" s="6">
        <v>944.8</v>
      </c>
      <c r="E20" s="1">
        <f t="shared" si="0"/>
        <v>29.386600000000001</v>
      </c>
      <c r="F20" s="8"/>
    </row>
    <row r="21" spans="1:6" s="5" customFormat="1">
      <c r="A21" s="5" t="s">
        <v>5</v>
      </c>
      <c r="B21" s="6" t="s">
        <v>4</v>
      </c>
      <c r="C21" s="7" t="s">
        <v>25</v>
      </c>
      <c r="D21" s="6">
        <v>963.7</v>
      </c>
      <c r="E21" s="1">
        <f t="shared" si="0"/>
        <v>29.974499999999999</v>
      </c>
      <c r="F21" s="8"/>
    </row>
    <row r="22" spans="1:6" s="5" customFormat="1">
      <c r="A22" s="5" t="s">
        <v>5</v>
      </c>
      <c r="B22" s="6" t="s">
        <v>4</v>
      </c>
      <c r="C22" s="7" t="s">
        <v>26</v>
      </c>
      <c r="D22" s="6">
        <v>979</v>
      </c>
      <c r="E22" s="1">
        <f t="shared" si="0"/>
        <v>30.450299999999999</v>
      </c>
      <c r="F22" s="8"/>
    </row>
    <row r="23" spans="1:6" s="5" customFormat="1">
      <c r="A23" s="5" t="s">
        <v>5</v>
      </c>
      <c r="B23" s="6" t="s">
        <v>4</v>
      </c>
      <c r="C23" s="7" t="s">
        <v>27</v>
      </c>
      <c r="D23" s="6">
        <v>944.2</v>
      </c>
      <c r="E23" s="1">
        <f t="shared" si="0"/>
        <v>29.367899999999999</v>
      </c>
      <c r="F23" s="8"/>
    </row>
    <row r="24" spans="1:6" s="5" customFormat="1">
      <c r="A24" s="5" t="s">
        <v>5</v>
      </c>
      <c r="B24" s="6" t="s">
        <v>4</v>
      </c>
      <c r="C24" s="7" t="s">
        <v>28</v>
      </c>
      <c r="D24" s="6">
        <v>961.9</v>
      </c>
      <c r="E24" s="1">
        <f t="shared" si="0"/>
        <v>29.918500000000002</v>
      </c>
      <c r="F24" s="8"/>
    </row>
    <row r="25" spans="1:6" s="5" customFormat="1">
      <c r="A25" s="5" t="s">
        <v>5</v>
      </c>
      <c r="B25" s="6" t="s">
        <v>4</v>
      </c>
      <c r="C25" s="7" t="s">
        <v>29</v>
      </c>
      <c r="D25" s="6">
        <v>937.8</v>
      </c>
      <c r="E25" s="1">
        <f t="shared" si="0"/>
        <v>29.168900000000001</v>
      </c>
      <c r="F25" s="8"/>
    </row>
    <row r="26" spans="1:6" s="5" customFormat="1">
      <c r="A26" s="5" t="s">
        <v>5</v>
      </c>
      <c r="B26" s="6" t="s">
        <v>4</v>
      </c>
      <c r="C26" s="7" t="s">
        <v>30</v>
      </c>
      <c r="D26" s="6">
        <v>946.8</v>
      </c>
      <c r="E26" s="1">
        <f t="shared" si="0"/>
        <v>29.448799999999999</v>
      </c>
      <c r="F26" s="8"/>
    </row>
    <row r="27" spans="1:6" s="5" customFormat="1">
      <c r="A27" s="5" t="s">
        <v>5</v>
      </c>
      <c r="B27" s="6" t="s">
        <v>4</v>
      </c>
      <c r="C27" s="7" t="s">
        <v>31</v>
      </c>
      <c r="D27" s="6">
        <v>972.1</v>
      </c>
      <c r="E27" s="1">
        <f t="shared" si="0"/>
        <v>30.235700000000001</v>
      </c>
      <c r="F27" s="8"/>
    </row>
    <row r="28" spans="1:6" s="5" customFormat="1">
      <c r="A28" s="5" t="s">
        <v>5</v>
      </c>
      <c r="B28" s="6" t="s">
        <v>4</v>
      </c>
      <c r="C28" s="7" t="s">
        <v>32</v>
      </c>
      <c r="D28" s="6">
        <v>969.9</v>
      </c>
      <c r="E28" s="1">
        <f t="shared" si="0"/>
        <v>30.167300000000001</v>
      </c>
      <c r="F28" s="8"/>
    </row>
    <row r="29" spans="1:6" s="5" customFormat="1">
      <c r="A29" s="5" t="s">
        <v>5</v>
      </c>
      <c r="B29" s="6" t="s">
        <v>4</v>
      </c>
      <c r="C29" s="7" t="s">
        <v>33</v>
      </c>
      <c r="D29" s="6">
        <v>950.4</v>
      </c>
      <c r="E29" s="1">
        <f t="shared" si="0"/>
        <v>29.5608</v>
      </c>
      <c r="F29" s="8"/>
    </row>
    <row r="30" spans="1:6" s="5" customFormat="1">
      <c r="A30" s="5" t="s">
        <v>5</v>
      </c>
      <c r="B30" s="6" t="s">
        <v>4</v>
      </c>
      <c r="C30" s="7" t="s">
        <v>34</v>
      </c>
      <c r="D30" s="6">
        <v>937.4</v>
      </c>
      <c r="E30" s="1">
        <f t="shared" si="0"/>
        <v>29.156400000000001</v>
      </c>
      <c r="F30" s="8"/>
    </row>
    <row r="31" spans="1:6" s="5" customFormat="1">
      <c r="A31" s="5" t="s">
        <v>5</v>
      </c>
      <c r="B31" s="6" t="s">
        <v>4</v>
      </c>
      <c r="C31" s="7" t="s">
        <v>35</v>
      </c>
      <c r="D31" s="6">
        <v>949.7</v>
      </c>
      <c r="E31" s="3">
        <f>+ROUND(D31/32.1507,4)</f>
        <v>29.539000000000001</v>
      </c>
      <c r="F31" s="8"/>
    </row>
    <row r="32" spans="1:6" s="5" customFormat="1">
      <c r="A32" s="4"/>
      <c r="B32" s="4"/>
      <c r="C32" s="4"/>
      <c r="D32" s="4"/>
      <c r="E32" s="4">
        <f>SUM(E2:E31)</f>
        <v>897.37379999999996</v>
      </c>
      <c r="F32" s="9">
        <f>COUNT(E2:E31)</f>
        <v>30</v>
      </c>
    </row>
  </sheetData>
  <phoneticPr fontId="3" type="noConversion"/>
  <printOptions gridLines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0.9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Lau</dc:creator>
  <cp:lastModifiedBy>Carol Lau</cp:lastModifiedBy>
  <dcterms:created xsi:type="dcterms:W3CDTF">2026-03-25T09:10:07Z</dcterms:created>
  <dcterms:modified xsi:type="dcterms:W3CDTF">2026-03-25T09:11:17Z</dcterms:modified>
</cp:coreProperties>
</file>